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iseplan" sheetId="1" state="visible" r:id="rId3"/>
    <sheet name="Entscheidungen &amp; offene Punkte" sheetId="2" state="visible" r:id="rId4"/>
    <sheet name="Ausflugs-Matrix Tarif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<sst xmlns="http://schemas.openxmlformats.org/spreadsheetml/2006/main" count="954" uniqueCount="458">
  <si>
    <t xml:space="preserve">Datum</t>
  </si>
  <si>
    <t xml:space="preserve">Tag</t>
  </si>
  <si>
    <t xml:space="preserve">Ort</t>
  </si>
  <si>
    <t xml:space="preserve">Uhrzeit von</t>
  </si>
  <si>
    <t xml:space="preserve">Uhrzeit bis</t>
  </si>
  <si>
    <t xml:space="preserve">Dauer</t>
  </si>
  <si>
    <t xml:space="preserve">Programmpunkt</t>
  </si>
  <si>
    <t xml:space="preserve">Kategorie</t>
  </si>
  <si>
    <t xml:space="preserve">Strecke/Fahrzeit</t>
  </si>
  <si>
    <t xml:space="preserve">Ticket/Reservierung</t>
  </si>
  <si>
    <t xml:space="preserve">Bemerkungen</t>
  </si>
  <si>
    <t xml:space="preserve">Unterkunft</t>
  </si>
  <si>
    <t xml:space="preserve">Mi</t>
  </si>
  <si>
    <t xml:space="preserve">Ottobrunn</t>
  </si>
  <si>
    <t xml:space="preserve">Fahrt zum Flughafen</t>
  </si>
  <si>
    <t xml:space="preserve">Anreise</t>
  </si>
  <si>
    <t xml:space="preserve">~45 km / ~45 min</t>
  </si>
  <si>
    <t xml:space="preserve">Parken P20 gebucht</t>
  </si>
  <si>
    <t xml:space="preserve">QR Code in Wallet</t>
  </si>
  <si>
    <t xml:space="preserve">-</t>
  </si>
  <si>
    <t xml:space="preserve">München</t>
  </si>
  <si>
    <t xml:space="preserve">Flug nach Madrid</t>
  </si>
  <si>
    <t xml:space="preserve">Flug LH4162 gebucht</t>
  </si>
  <si>
    <t xml:space="preserve">Hauptfahrer-Flugnr. für Avis-Abholung</t>
  </si>
  <si>
    <t xml:space="preserve">Madrid</t>
  </si>
  <si>
    <t xml:space="preserve">Transfer Großraum-Taxi</t>
  </si>
  <si>
    <t xml:space="preserve">Flughafen→Gran Vía ~20 km</t>
  </si>
  <si>
    <t xml:space="preserve">gebucht</t>
  </si>
  <si>
    <t xml:space="preserve">https://taxis.booking.com/bookings/644989107</t>
  </si>
  <si>
    <t xml:space="preserve">Apartment Check-in</t>
  </si>
  <si>
    <t xml:space="preserve">Hotel</t>
  </si>
  <si>
    <t xml:space="preserve">AirBnB</t>
  </si>
  <si>
    <t xml:space="preserve">Grande Suite Apartments Gran Vía</t>
  </si>
  <si>
    <t xml:space="preserve">Pool &amp; Erholung</t>
  </si>
  <si>
    <t xml:space="preserve">Freizeit</t>
  </si>
  <si>
    <t xml:space="preserve">Sky Bar Terrace, Hotel Emperador</t>
  </si>
  <si>
    <t xml:space="preserve">Rooftop</t>
  </si>
  <si>
    <t xml:space="preserve">Terraza des Hotel Emperador (Gran Vía 53): Dachterrasse mit Pool &amp; Stadtblick, kein Eintritt. Drinks &amp; kleine Küche. Ohne Reservierung</t>
  </si>
  <si>
    <t xml:space="preserve">Rooftop-Bars Madrid (Alternativen, optional)</t>
  </si>
  <si>
    <t xml:space="preserve">Option</t>
  </si>
  <si>
    <t xml:space="preserve">Azotea del Círculo de Bellas Artes — Top-Rundblick über Madrid || The Mint Roof — Cocktailbar mit Aussicht || 360º Rooftop — Panorama-Dachterrasse || The Hat — lässige Rooftop-Bar</t>
  </si>
  <si>
    <t xml:space="preserve">La Mi Venta</t>
  </si>
  <si>
    <t xml:space="preserve">Abendessen</t>
  </si>
  <si>
    <t xml:space="preserve">reserviert für 20 Uhr, Terrasse</t>
  </si>
  <si>
    <t xml:space="preserve">Google 4,7. Holzkohlegrill: Entrecot &amp; Secreto ibérico (Schwein), Jamón, gegrillter Fisch, Ziegenkäse-Salat. Nähe Plaza de España</t>
  </si>
  <si>
    <t xml:space="preserve">Plaza Mayor &amp; Gran Vía bei Nacht</t>
  </si>
  <si>
    <t xml:space="preserve">Spaziergang</t>
  </si>
  <si>
    <t xml:space="preserve">San Ginés Chocolatería</t>
  </si>
  <si>
    <t xml:space="preserve">Café/Nacht</t>
  </si>
  <si>
    <t xml:space="preserve">Churros con Chocolate seit 1894; nachts geöffnet; 2 Min von Plaza Mayor</t>
  </si>
  <si>
    <t xml:space="preserve">Do</t>
  </si>
  <si>
    <t xml:space="preserve">Frühstück Apartment</t>
  </si>
  <si>
    <t xml:space="preserve">Frühstück</t>
  </si>
  <si>
    <t xml:space="preserve">Royal Palace of Madrid</t>
  </si>
  <si>
    <t xml:space="preserve">Hauptattraktion</t>
  </si>
  <si>
    <t xml:space="preserve">FIX gebucht – Slot 10:15</t>
  </si>
  <si>
    <t xml:space="preserve">Sommer Mo–Sa 10–19 Uhr; als Erstes = kühler &amp; leerer. Do = kein Wachwechsel</t>
  </si>
  <si>
    <t xml:space="preserve">Plaza Mayor</t>
  </si>
  <si>
    <t xml:space="preserve">Sightseeing</t>
  </si>
  <si>
    <t xml:space="preserve">Puerta del Sol</t>
  </si>
  <si>
    <t xml:space="preserve">Mercado de San Miguel</t>
  </si>
  <si>
    <t xml:space="preserve">Tapas &amp; Markt / Mittag</t>
  </si>
  <si>
    <t xml:space="preserve">Deckt den Mittags-Tapas-Lunch ab (kein separates Mittagessen nötig)</t>
  </si>
  <si>
    <t xml:space="preserve">Pool &amp; Siesta</t>
  </si>
  <si>
    <t xml:space="preserve">Erholung</t>
  </si>
  <si>
    <t xml:space="preserve">Verlängert über die heißeste Tageszeit (oft 38–40°C)</t>
  </si>
  <si>
    <t xml:space="preserve">Plaza de España</t>
  </si>
  <si>
    <t xml:space="preserve">Direkt neben Parque del Oeste / Debod</t>
  </si>
  <si>
    <t xml:space="preserve">Temple of Debod</t>
  </si>
  <si>
    <t xml:space="preserve">Aussicht/ Sonnenuntergang</t>
  </si>
  <si>
    <t xml:space="preserve">GEÄNDERT: Slot auf Sonnenuntergang gelegt (~20:55 Ende Aug.). Reiz = Aussicht/Foto über die Stadt; Tempel-Innenbesichtigung optional, Zugang kostenlos</t>
  </si>
  <si>
    <t xml:space="preserve">Tapa Tapa Santa Ana</t>
  </si>
  <si>
    <t xml:space="preserve">reserviert für 21 Uhr</t>
  </si>
  <si>
    <t xml:space="preserve">Google 4,6 (~12.000), große Terrasse an der Plaza Santa Ana. Tapas: Huevos rotos mit Ibérico-Schinken, Croquetas, Patatas Bravas, Thunfisch-Tartar, auch Paella/Meeresfrüchte. Fleisch, Fisch &amp; Gemüse. Bildkarte (einfach)</t>
  </si>
  <si>
    <t xml:space="preserve">Fr</t>
  </si>
  <si>
    <t xml:space="preserve">Santiago Bernabéu Tour</t>
  </si>
  <si>
    <t xml:space="preserve">Stadiontour</t>
  </si>
  <si>
    <t xml:space="preserve">FIX gebucht – Standard Classic + Audioguide, 10:30</t>
  </si>
  <si>
    <t xml:space="preserve">FIX gebucht (Standard Classic mit Audioguide). Zeitfenster 10:30</t>
  </si>
  <si>
    <t xml:space="preserve">Mittagessen</t>
  </si>
  <si>
    <t xml:space="preserve">Restaurant</t>
  </si>
  <si>
    <t xml:space="preserve">Restaurant nahe Gran Vía/Sol</t>
  </si>
  <si>
    <t xml:space="preserve">Gran Vía Shopping</t>
  </si>
  <si>
    <t xml:space="preserve">Shopping</t>
  </si>
  <si>
    <t xml:space="preserve">Überwiegend Indoor/klimatisiert – Hitze unkritisch</t>
  </si>
  <si>
    <t xml:space="preserve">WOW Concept</t>
  </si>
  <si>
    <t xml:space="preserve">Indoor</t>
  </si>
  <si>
    <t xml:space="preserve">Calle Fuencarral</t>
  </si>
  <si>
    <t xml:space="preserve">Fußgängerzone, viele normale Marken (keine Luxus)</t>
  </si>
  <si>
    <t xml:space="preserve">El Corte Inglés Callao</t>
  </si>
  <si>
    <t xml:space="preserve">Indoor; Dachterrasse Gourmet Experience</t>
  </si>
  <si>
    <t xml:space="preserve">Plaza de Cibeles (Fotostopp, optional)</t>
  </si>
  <si>
    <t xml:space="preserve">auf dem Weg Richtung Atocha</t>
  </si>
  <si>
    <t xml:space="preserve">Wahrzeichen-Brunnen; hier feiert Real Madrid Titel</t>
  </si>
  <si>
    <t xml:space="preserve">Mietwagen abholen</t>
  </si>
  <si>
    <t xml:space="preserve">Transfer</t>
  </si>
  <si>
    <t xml:space="preserve">Apartment→Atocha ~3 km</t>
  </si>
  <si>
    <t xml:space="preserve">Gebucht (nur Fez)</t>
  </si>
  <si>
    <t xml:space="preserve">Station Atocha schließt 19:00 – 18:00 bewusst gewählt (Ruhe/Verhandlungsspielraum). AVIS: 2 physische Kreditkarten von 2 verschiedenen Banken (2. = Amex/Diners/MC), keine Neobank/Prepaid/virtuell, PIN bekannt, Limit für 4.000 € Kautionssperre. Führerschein bd. Fahrer + Reisepass/Perso</t>
  </si>
  <si>
    <t xml:space="preserve">Mietwagen in Parkhaus</t>
  </si>
  <si>
    <t xml:space="preserve">Parkhaus Gran Vía – bewusste Kosten (Vorabend-Abholung)</t>
  </si>
  <si>
    <t xml:space="preserve">Kinder waren im Apartment</t>
  </si>
  <si>
    <t xml:space="preserve">Plaza de Santa Ana (Aperitivo/Tapas)</t>
  </si>
  <si>
    <t xml:space="preserve">Tapas</t>
  </si>
  <si>
    <t xml:space="preserve">Lebhafter Tapas-Platz im Barrio de las Letras, ~5 Min zu La Menina</t>
  </si>
  <si>
    <t xml:space="preserve">Volver Bar de Tapas</t>
  </si>
  <si>
    <t xml:space="preserve">reserviert für 20:30 Uhr</t>
  </si>
  <si>
    <t xml:space="preserve">Google 4,9 (nahe Plaza Mayor). Hochgelobte Tapas: Tortilla, Rippen-Croquetas (costilla), Huevos rotos, gegrillte Picaña (Rind), Brioche mit Gamba, Jamón. Überwiegend Fleisch-Tapas. | HINWEIS: am selben Abend ist auch SteakBurger (21:00) reserviert</t>
  </si>
  <si>
    <t xml:space="preserve">Steak Burger Bar Gran Via 16</t>
  </si>
  <si>
    <t xml:space="preserve">reserviert für 21:00 Uhr</t>
  </si>
  <si>
    <t xml:space="preserve">Google 4,7 (sehr beliebt), Gran Vía 16. Burger &amp; Steaks (Rind), Guacamole – familien-/kinderfreundlich, täglich bis spät. | HINWEIS: Volver (20:30) ist am selben Abend reserviert</t>
  </si>
  <si>
    <t xml:space="preserve">Las Ventas (optional)</t>
  </si>
  <si>
    <t xml:space="preserve">Größte Stierkampfarena Spaniens (Osten, M-30); nur bei Interesse – keine Laufroute</t>
  </si>
  <si>
    <t xml:space="preserve">Gran Vía bei Nacht</t>
  </si>
  <si>
    <t xml:space="preserve">Sa</t>
  </si>
  <si>
    <t xml:space="preserve">Check-out</t>
  </si>
  <si>
    <t xml:space="preserve">Abfahrt nach Córdoba</t>
  </si>
  <si>
    <t xml:space="preserve">Madrid→Córdoba ~400 km / ~3h50–4h15</t>
  </si>
  <si>
    <t xml:space="preserve">A-4; ggf. kurzer Stopp. Tanken nicht vergessen</t>
  </si>
  <si>
    <t xml:space="preserve">NH Collection Palacio de Córdoba</t>
  </si>
  <si>
    <t xml:space="preserve">Córdoba</t>
  </si>
  <si>
    <t xml:space="preserve">Check-in Hotel</t>
  </si>
  <si>
    <t xml:space="preserve">Restaurant in der Altstadt – Auswahl folgt</t>
  </si>
  <si>
    <t xml:space="preserve">Hitzefenster (Córdoba ist die heißeste Stadt der Route, oft 40–42°C)</t>
  </si>
  <si>
    <t xml:space="preserve">Judería</t>
  </si>
  <si>
    <t xml:space="preserve">Altstadt</t>
  </si>
  <si>
    <t xml:space="preserve">Calleja de las Flores; enge Gassen, schattig</t>
  </si>
  <si>
    <t xml:space="preserve">Plaza de la Corredera</t>
  </si>
  <si>
    <t xml:space="preserve">Großer Arkadenplatz, Cafés – abends schön</t>
  </si>
  <si>
    <t xml:space="preserve">Mezquita außen</t>
  </si>
  <si>
    <t xml:space="preserve">Roman Bridge Sunset</t>
  </si>
  <si>
    <t xml:space="preserve">Fotospot</t>
  </si>
  <si>
    <t xml:space="preserve">Sonnenuntergang ~21:00 Ende Aug. – Slot passt knapp; ggf. 15 min später</t>
  </si>
  <si>
    <t xml:space="preserve">Torre de la Calahorra (optional)</t>
  </si>
  <si>
    <t xml:space="preserve">Turm/Museum am anderen Brückenende (Al-Andalus)</t>
  </si>
  <si>
    <t xml:space="preserve">Taberna El N°10</t>
  </si>
  <si>
    <t xml:space="preserve">reserviert für 20:30</t>
  </si>
  <si>
    <t xml:space="preserve">Google 4,3, im Guide Michelin (günstig). Traditionell-córdobesisch: Salmorejo, Flamenquín, Rabo-de-Toro-Sandwich; Karte teils eklektisch (auch Burger). Überwiegend Fleisch. | PRÜFEN: Tablafina ist für 29.08 ebenfalls als gebucht markiert – nur eines behalten. Hinweis: Bewertung 4,3; Oreja = Innereien auf der Karte</t>
  </si>
  <si>
    <t xml:space="preserve">Córdoba – Ess-Alternativen (optional)</t>
  </si>
  <si>
    <t xml:space="preserve">Casa Rubio — traditionell, Rabo de Toro/Flamenquín (Guide Michelin) || Regadera — moderne andalusische Küche (Guide Michelin) ||  Mercado Victoria — Gourmet-Markt, viele Stände (Fleisch, Fisch, Tapas)</t>
  </si>
  <si>
    <t xml:space="preserve">Córdoba – optionale Sights</t>
  </si>
  <si>
    <t xml:space="preserve">Palacio de Viana — Palast mit 12 Patios || Patios de San Basilio — berühmte Blumen-Innenhöfe</t>
  </si>
  <si>
    <t xml:space="preserve">Tablafina Córdoba (Tisch gebucht)</t>
  </si>
  <si>
    <t xml:space="preserve">FIX – Tisch gebucht</t>
  </si>
  <si>
    <t xml:space="preserve">Hotel-Restaurant (NH Collection, Plaza Maimónides), Google 4,6. Andalusisch: Flamenquín (paniertes Schweineröllchen), Rabo de Toro (Ochsenschwanz), Salmorejo (kalte Tomatencreme). Überwiegend Fleisch | PRÜFEN: für 29.08 ist auch Taberna El Nº10 (20:30) reserviert – bitte nur EINES behalten</t>
  </si>
  <si>
    <t xml:space="preserve">So</t>
  </si>
  <si>
    <t xml:space="preserve">Mezquita</t>
  </si>
  <si>
    <t xml:space="preserve">Highlight</t>
  </si>
  <si>
    <t xml:space="preserve">Ticket m. Zeitfenster vorab</t>
  </si>
  <si>
    <t xml:space="preserve">SO 30.08: geöffnet 08:30–11:30 (live verifiziert); Slot 09:15 passt. Gratis-Stunde gilt SO NICHT; Hochamt 12:00. Vollster Tag → früh &amp; Ticket vorab</t>
  </si>
  <si>
    <t xml:space="preserve">Alcázar de los Reyes Cristianos</t>
  </si>
  <si>
    <t xml:space="preserve">Ticket vorab</t>
  </si>
  <si>
    <t xml:space="preserve">Sonntags vormittags geöffnet; Gärten schön, wenig Schatten</t>
  </si>
  <si>
    <t xml:space="preserve">Taberna San Miguel "Casa El Pisto" (Mittagessen)</t>
  </si>
  <si>
    <t xml:space="preserve">Historische Taberna (seit 1880): Salmorejo (kalte Tomatencreme), Rabo de Toro (Ochsenschwanz), Flamenquín (Schweineröllchen). Überwiegend Fleisch/Tapas</t>
  </si>
  <si>
    <t xml:space="preserve">Abfahrt Sevilla</t>
  </si>
  <si>
    <t xml:space="preserve">Córdoba→Sevilla ~140 km / ~1h45</t>
  </si>
  <si>
    <t xml:space="preserve">Vincci Molviedro Suites</t>
  </si>
  <si>
    <t xml:space="preserve">Sevilla</t>
  </si>
  <si>
    <t xml:space="preserve">Check-in</t>
  </si>
  <si>
    <t xml:space="preserve">Pool</t>
  </si>
  <si>
    <t xml:space="preserve">Hitzefenster</t>
  </si>
  <si>
    <t xml:space="preserve">Setas de Sevilla (Metropol Parasol)</t>
  </si>
  <si>
    <t xml:space="preserve">Ticket Dach-Steg</t>
  </si>
  <si>
    <t xml:space="preserve">Modernes Wahrzeichen; Dach-Steg mit Aussicht; nördl. Zentrum, ~10 Min zur Kathedrale</t>
  </si>
  <si>
    <t xml:space="preserve">Kathedrale außen</t>
  </si>
  <si>
    <t xml:space="preserve">Giralda; Innenbesichtigung optional</t>
  </si>
  <si>
    <t xml:space="preserve">Barrio Santa Cruz</t>
  </si>
  <si>
    <t xml:space="preserve">Enge Gassen, schattig, ideal am Abend</t>
  </si>
  <si>
    <t xml:space="preserve">Leña al Lomo (Abendessen)</t>
  </si>
  <si>
    <t xml:space="preserve">Reservieren</t>
  </si>
  <si>
    <t xml:space="preserve">Google 4,8. Fleischbetont: Steak Tartar, Carrillada (geschmorte Schweinebacke), Käse-Kroketten. Wenig Fisch</t>
  </si>
  <si>
    <t xml:space="preserve">Mo</t>
  </si>
  <si>
    <t xml:space="preserve">Real Alcázar</t>
  </si>
  <si>
    <t xml:space="preserve">FIX gebucht – Slot 09:30</t>
  </si>
  <si>
    <t xml:space="preserve">FIX gebucht. Mo 31.08 geöffnet 09:30–19:00; 09:30 = kühl &amp; leer. Personengebunden → Pässe mitnehmen (Altersnachweis; für unter 14-Jährige korrekte Ticketkategorie beachten)</t>
  </si>
  <si>
    <t xml:space="preserve">Mittagessen (vorgezogen)</t>
  </si>
  <si>
    <t xml:space="preserve">Bewusst früh vor der Mittagshitze; Restaurant nahe Alcázar – Auswahl folgt</t>
  </si>
  <si>
    <t xml:space="preserve">HEAT-SHIFT: verlängertes Hitzefenster (Sevilla 38–42°C mittags)</t>
  </si>
  <si>
    <t xml:space="preserve">Real Fábrica de Tabacos (optional)</t>
  </si>
  <si>
    <t xml:space="preserve">Carmen-Schauplatz, heute Universität – Außenblick; auf dem Weg zur Plaza de España</t>
  </si>
  <si>
    <t xml:space="preserve">Parque María Luisa</t>
  </si>
  <si>
    <t xml:space="preserve">Park</t>
  </si>
  <si>
    <t xml:space="preserve">Schattig</t>
  </si>
  <si>
    <t xml:space="preserve">Plaza de Toros (Maestranza)</t>
  </si>
  <si>
    <t xml:space="preserve">Führung</t>
  </si>
  <si>
    <t xml:space="preserve">HEAT-SHIFT aus Mittag (war 11:45). Führungszeiten + mögliche Stierkampf-Tage (Saison) prüfen; sonst kurzer Außen-/Fotostopp</t>
  </si>
  <si>
    <t xml:space="preserve">Abendessen + Flamenco El Arenal (Dinner &amp; Show)</t>
  </si>
  <si>
    <t xml:space="preserve">Show/Abendessen</t>
  </si>
  <si>
    <t xml:space="preserve">Online buchen (günstiger)</t>
  </si>
  <si>
    <t xml:space="preserve">Dinner-&amp;-Show-Tablao. 3-Gänge-Menü (Fleisch- oder Fischgang wählbar) ~1 h vor der 21:30-Show (Alt. 19:30). Plätze mit Dinner bevorzugen</t>
  </si>
  <si>
    <t xml:space="preserve">Di</t>
  </si>
  <si>
    <t xml:space="preserve">Abfahrt Ronda</t>
  </si>
  <si>
    <t xml:space="preserve">Sevilla→Ronda ~125 km / ~2h</t>
  </si>
  <si>
    <t xml:space="preserve">Dunas Luxury Beach Resort (Valdevaqueros)</t>
  </si>
  <si>
    <t xml:space="preserve">Ronda</t>
  </si>
  <si>
    <t xml:space="preserve">Ronda Altstadt (Puente Nuevo)</t>
  </si>
  <si>
    <t xml:space="preserve">Roadtrip</t>
  </si>
  <si>
    <t xml:space="preserve">Ronda→Tarifa ~110 km / ~1h45</t>
  </si>
  <si>
    <t xml:space="preserve">Puente Nuevo über die 98-m-Schlucht El Tajo; malerische Altstadt</t>
  </si>
  <si>
    <t xml:space="preserve">Plaza de Toros de Ronda (Besichtigung)</t>
  </si>
  <si>
    <t xml:space="preserve">FIX – Tickets gebucht</t>
  </si>
  <si>
    <t xml:space="preserve">Älteste (1785) &amp; schönste Arena Spaniens, Wiege des modernen Stierkampfs zu Fuß. Selbstbesichtigung mit Audioguide (auch Deutsch) + Museo Taurino. Offen 10–20 Uhr</t>
  </si>
  <si>
    <t xml:space="preserve">Mittagessen Ronda</t>
  </si>
  <si>
    <t xml:space="preserve">Tarifa</t>
  </si>
  <si>
    <t xml:space="preserve">Weiterfahrt Tarifa</t>
  </si>
  <si>
    <t xml:space="preserve">Ronda→Tarifa ~1h45</t>
  </si>
  <si>
    <t xml:space="preserve">Check-in Dunas Resort</t>
  </si>
  <si>
    <t xml:space="preserve">Valdevaqueros, direkt an ION-Club-Surfstation</t>
  </si>
  <si>
    <t xml:space="preserve">Ankommen / Strand / Pool</t>
  </si>
  <si>
    <t xml:space="preserve">Erster Abend Tarifa – Restaurant-Auswahl folgt</t>
  </si>
  <si>
    <t xml:space="preserve">Wassersport-Fenster 1 (flex, Halbtag)</t>
  </si>
  <si>
    <t xml:space="preserve">Sport (flex)</t>
  </si>
  <si>
    <t xml:space="preserve">Material vor Ort (ION Club)</t>
  </si>
  <si>
    <t xml:space="preserve">ENTSPANNT &amp; windabhängig: gesamt 1–3 Halbtage, KEIN Zwang – lieber schöne Erlebnisse als auf Wind warten. Foilen eher nachmittags (Levante stärker), Kurse ruhiger vormittags/bei Poniente. Morgens per Windguru/Windy</t>
  </si>
  <si>
    <t xml:space="preserve">Strand / Pool / Chill</t>
  </si>
  <si>
    <t xml:space="preserve">Tarifa Altstadt</t>
  </si>
  <si>
    <t xml:space="preserve">Castillo de Guzmán, Puerta de Jerez, Playa de los Lances; Fotostopp Isla de las Palomas = südlichster Punkt des europ. Festlands (Atlantik trifft Mittelmeer); bummeln/shoppen</t>
  </si>
  <si>
    <t xml:space="preserve">El Guapo Tarifa (Abendessen)</t>
  </si>
  <si>
    <t xml:space="preserve">Google 4,9. Steak, Ibérico (Schwein), Steak Tartar, Thunfisch, gegrilltes Gemüse mit Burrata. Fleisch &amp; Fisch. Mi offen (Do zu)</t>
  </si>
  <si>
    <t xml:space="preserve">Gibraltar</t>
  </si>
  <si>
    <t xml:space="preserve">Rock-Tour: Affen &amp; St. Michael's Cave</t>
  </si>
  <si>
    <t xml:space="preserve">Ausflug</t>
  </si>
  <si>
    <t xml:space="preserve">Parken: Parking Frontera (Isolux Corsan), La Línea → zu Fuß über Grenze</t>
  </si>
  <si>
    <t xml:space="preserve">Rock-Tour-Minibus vorab</t>
  </si>
  <si>
    <t xml:space="preserve">Seilbahn bis 2027 zu → Minibus. REISEPASS. Berberaffen (NICHT füttern!), Tropfstein-Höhle St. Michael's Cave</t>
  </si>
  <si>
    <t xml:space="preserve">Great Siege Tunnels</t>
  </si>
  <si>
    <t xml:space="preserve">Belagerungstunnel (18. Jh.), in die Felswand gehauen; meist im Rock-Ticket enthalten</t>
  </si>
  <si>
    <t xml:space="preserve">Skywalk &amp; Windsor Suspension Bridge</t>
  </si>
  <si>
    <t xml:space="preserve">Glas-Aussichtssteg (Skywalk) + Hängebrücke (Windsor, optional) oben am Fels – spektakuläre Blicke</t>
  </si>
  <si>
    <t xml:space="preserve">Aquaterra (Mittagessen)</t>
  </si>
  <si>
    <t xml:space="preserve">Google 4,8, Casemates Square (Gibraltar). Steak, Ente, Oktopus, Kabeljau (Bacalao). Fleisch &amp; Fisch. Do offen (So zu)</t>
  </si>
  <si>
    <t xml:space="preserve">Main Street / Rock</t>
  </si>
  <si>
    <t xml:space="preserve">Shopping/Sightseeing</t>
  </si>
  <si>
    <t xml:space="preserve">Steuerfrei; nachmittags zurück vor Grenz-Stoßzeit (abends Stau)</t>
  </si>
  <si>
    <t xml:space="preserve">Brasería Vaca Loca (Abendessen)</t>
  </si>
  <si>
    <t xml:space="preserve">Rückfahrt La Línea→Tarifa ~45 min</t>
  </si>
  <si>
    <t xml:space="preserve">keine Reserv. – ggf. kurz warten</t>
  </si>
  <si>
    <t xml:space="preserve">Google 4,7. Rindfleisch über Feuer: Ribeye (~30 €) &amp; Steaks, faire Weine. Überwiegend Fleisch, wenig Fisch. Täglich offen</t>
  </si>
  <si>
    <t xml:space="preserve">Wassersport-Fenster 2 (flex, Halbtag)</t>
  </si>
  <si>
    <t xml:space="preserve">Material vor Ort</t>
  </si>
  <si>
    <t xml:space="preserve">ENTSPANNT &amp; windabhängig (s. o.)</t>
  </si>
  <si>
    <t xml:space="preserve">Vejer</t>
  </si>
  <si>
    <t xml:space="preserve">Vejer de la Frontera bummeln</t>
  </si>
  <si>
    <t xml:space="preserve">Tarifa→Vejer ~50 km / ~45 min</t>
  </si>
  <si>
    <t xml:space="preserve">Schönstes weißes Bergdorf, Gassen, "rein-schauen-Fotos". WICHTIG: Restaurantküchen erst ~20:00 → jetzt bummeln + Drink/Tapas</t>
  </si>
  <si>
    <t xml:space="preserve">El Palmar</t>
  </si>
  <si>
    <t xml:space="preserve">El Palmar de Vejer (Strand/Chiringuito)</t>
  </si>
  <si>
    <t xml:space="preserve">Strand</t>
  </si>
  <si>
    <t xml:space="preserve">Vejer→El Palmar ~15 min</t>
  </si>
  <si>
    <t xml:space="preserve">Breiter Atlantik-Surferstrand mit Chiringuitos; Sundowner-Drink; ~10 Min von Cap Trafalgar</t>
  </si>
  <si>
    <t xml:space="preserve">Cap Trafalgar</t>
  </si>
  <si>
    <t xml:space="preserve">Cap Trafalgar Sunset</t>
  </si>
  <si>
    <t xml:space="preserve">Vejer→Trafalgar ~25 km / ~30 min</t>
  </si>
  <si>
    <t xml:space="preserve">Sonnenuntergang ~20:50 (näher am Datum verifizieren); danach Heimfahrt ~1 h</t>
  </si>
  <si>
    <t xml:space="preserve">Abendessen Vejer</t>
  </si>
  <si>
    <t xml:space="preserve">Trafalgar→Vejer ~30 min</t>
  </si>
  <si>
    <t xml:space="preserve">La Judería de Vejer (Google 4,6, Terrassenblick): Fleisch, Thunfisch, Gemüse/vegetarisch. Oder El Jardín del Califa (4,6): marokkanisch-mediterran, Tajines (Lamm/Huhn), Mezze. Spätes Essen (span. Zeit)</t>
  </si>
  <si>
    <t xml:space="preserve">Optional: Stopp Düne Bolonia</t>
  </si>
  <si>
    <t xml:space="preserve">kleiner Abstecher ~10 km</t>
  </si>
  <si>
    <t xml:space="preserve">Nur Düne (Baelo Claudia lassen wir aus). Da Roche jetzt an diesem Tag liegt, Dünen-Stopp hier statt 04.09</t>
  </si>
  <si>
    <t xml:space="preserve">Cádiz</t>
  </si>
  <si>
    <t xml:space="preserve">Casa Lazo (Mittagessen)</t>
  </si>
  <si>
    <t xml:space="preserve">Tarifa→Cádiz ~100 km / ~1h15</t>
  </si>
  <si>
    <t xml:space="preserve">Google 4,6 (Cádiz). Lamm, Rind, Ibérico (Schwein), Thunfisch, Seehecht (Merluza), gegrillte Artischocken. Fleisch &amp; Fisch. Sa offen (So zu). Falls Roche entfällt: abends hier o. Asador Puntaparrilla (Steakhouse, Rind)</t>
  </si>
  <si>
    <t xml:space="preserve">Cádiz Altstadt bummeln</t>
  </si>
  <si>
    <t xml:space="preserve">Kompakt &amp; in einem Halbtag gut machbar: Barrio del Pópulo, La Caleta, Torre Tavira, Kathedrale außen. Falls Roche entfällt → bis abends bleiben + Abendessen (Abendstimmung!)</t>
  </si>
  <si>
    <t xml:space="preserve">Roche</t>
  </si>
  <si>
    <t xml:space="preserve">Optional: Freunde Roche</t>
  </si>
  <si>
    <t xml:space="preserve">Cádiz→Roche ~35 km / ~30 min</t>
  </si>
  <si>
    <t xml:space="preserve">FLEXIBEL, kein Muss (lose Urlaubs-Einladung). Auf dem Rückweg; sonst Cádiz-Abend</t>
  </si>
  <si>
    <t xml:space="preserve">Whale Watching (FIRMM)</t>
  </si>
  <si>
    <t xml:space="preserve">Highlight (flex)</t>
  </si>
  <si>
    <t xml:space="preserve">FIRMM – 2–3 Tage vorher buchen</t>
  </si>
  <si>
    <t xml:space="preserve">NUR an windarmem Tag (spontan; sonst an anderen ruhigen Morgen schieben). Grindwale+Delfine zuverlässig, Pottwal mögl., Orca eher nein</t>
  </si>
  <si>
    <t xml:space="preserve">Cabalgata Agrícola (Feria-Höhepunkt)</t>
  </si>
  <si>
    <t xml:space="preserve">Fest</t>
  </si>
  <si>
    <t xml:space="preserve">500–700 Reiter bringen die Virgen de la Luz in die Stadt – Fiesta de Interés Turístico. Feria 06.–13.09. Parken schwer → Taxi/früh</t>
  </si>
  <si>
    <t xml:space="preserve">Mittag + Pool/Siesta</t>
  </si>
  <si>
    <t xml:space="preserve">Tarifa Altstadt + Feria-Abend</t>
  </si>
  <si>
    <t xml:space="preserve">Sightseeing/Fest</t>
  </si>
  <si>
    <t xml:space="preserve">Casetas/Feria-Stimmung. Abendessen El Lola (Tapas &amp; Flamenco, Google 4,6): Fleisch-Tapas, Thunfisch, lebhaft, gut mit Kids</t>
  </si>
  <si>
    <t xml:space="preserve">Wassersport-Fenster 3 (flex, Halbtag)</t>
  </si>
  <si>
    <t xml:space="preserve">Quadtour (Punta Paloma/Dünen)</t>
  </si>
  <si>
    <t xml:space="preserve">Vorab buchen (Tel.)</t>
  </si>
  <si>
    <t xml:space="preserve">Quads Aventura Tarifa (4,9/470, +34 687 299 648) o. Quads Tarifa (4,9/292, +34 659 256 650). 2-Std.-Tour. VORAB: Mitfahr-Alter der Kinder (15/13) klären</t>
  </si>
  <si>
    <t xml:space="preserve">Sonnenuntergang Düne Valdevaqueros</t>
  </si>
  <si>
    <t xml:space="preserve">vor der Haustür</t>
  </si>
  <si>
    <t xml:space="preserve">Kostenlos &amp; spektakulär, null Fahrerei – direkt an der Unterkunft</t>
  </si>
  <si>
    <t xml:space="preserve">Malcriado (Abendessen)</t>
  </si>
  <si>
    <t xml:space="preserve">Google 4,9. Stylish: Oxtail-Cannelloni (Pasta mit Ochsenschwanz), Steak Tartar, karamellisierter Lachs, Thunfisch, Burrata. Fleisch, Fisch &amp; Pasta. Di zu (Mo offen)</t>
  </si>
  <si>
    <t xml:space="preserve">Abfahrt Tarifa</t>
  </si>
  <si>
    <t xml:space="preserve">Tarifa→Frigiliana ~250 km / ~2h45</t>
  </si>
  <si>
    <t xml:space="preserve">Terraza No 6, Calle Villar Yebra 6</t>
  </si>
  <si>
    <t xml:space="preserve">Frigiliana (Prov. Málaga)</t>
  </si>
  <si>
    <t xml:space="preserve">Frigiliana Altstadt</t>
  </si>
  <si>
    <t xml:space="preserve">KORRIGIERT: Frigiliana liegt in Prov. MÁLAGA (nicht Granada). Weißes Dorf, 'rein-schauen-Fotos'</t>
  </si>
  <si>
    <t xml:space="preserve">Mittagessen Frigiliana</t>
  </si>
  <si>
    <t xml:space="preserve">Nerja</t>
  </si>
  <si>
    <t xml:space="preserve">Nerja / Balcón de Europa (optional)</t>
  </si>
  <si>
    <t xml:space="preserve">Frigiliana→Nerja ~10 min</t>
  </si>
  <si>
    <t xml:space="preserve">Berühmter Aussichtsbalkon; ggf. hier Mittag statt Frigiliana; kostet ~1 h extra</t>
  </si>
  <si>
    <t xml:space="preserve">Granada</t>
  </si>
  <si>
    <t xml:space="preserve">Weiterfahrt nach Granada</t>
  </si>
  <si>
    <t xml:space="preserve">Frigiliana→Granada ~85 km / ~1h30</t>
  </si>
  <si>
    <t xml:space="preserve">Check-in Apartment</t>
  </si>
  <si>
    <t xml:space="preserve">Calle Calderería (Teterías)</t>
  </si>
  <si>
    <t xml:space="preserve">Maurische Tee-/Basargasse; Minztee mit den Jungs</t>
  </si>
  <si>
    <t xml:space="preserve">El Bañuelo (arab. Bäder)</t>
  </si>
  <si>
    <t xml:space="preserve">1.000 Jahre alte arabische Bäder, Carrera del Darro; günstig, kurz</t>
  </si>
  <si>
    <t xml:space="preserve">Albaicín</t>
  </si>
  <si>
    <t xml:space="preserve">Enge Gassen, maurisches Viertel</t>
  </si>
  <si>
    <t xml:space="preserve">Mirador San Nicolás</t>
  </si>
  <si>
    <t xml:space="preserve">Klassischer Alhambra-Blick; Sonnenuntergang ~20:50 – ggf. bis dahin bleiben, dann Taxi zum Restaurant</t>
  </si>
  <si>
    <t xml:space="preserve">Atelier Casa de Comidas (GEHOBENER ABEND)</t>
  </si>
  <si>
    <t xml:space="preserve">Vorab online reservieren</t>
  </si>
  <si>
    <t xml:space="preserve">Bib Gourmand, Google 4,7. Kreativ-andalusisch, Menü ~55 € oder à la carte (Fleisch- &amp; Fischgänge), guter Weinservice. Viertel Genil (Taxi vom Albaicín). Alt.: Damasqueros (4,4, Degustation) o. Casa Gabriel (4,6, im Albaicín, Ibérico/Entrecot – fleischlastig)</t>
  </si>
  <si>
    <t xml:space="preserve">Alhambra (Gesamtkomplex)</t>
  </si>
  <si>
    <t xml:space="preserve">Gebucht &amp; bezahlt – FIX</t>
  </si>
  <si>
    <t xml:space="preserve">Tickets in Wallet / Generalife + Alcazaba</t>
  </si>
  <si>
    <t xml:space="preserve">Nasridenpaläste</t>
  </si>
  <si>
    <t xml:space="preserve">STRIKTER Zeitslot 10:00 (Einlass ±30 min) – pünktlich sein!</t>
  </si>
  <si>
    <t xml:space="preserve">Mittag + Siesta</t>
  </si>
  <si>
    <t xml:space="preserve">Zentrum: Capilla Real + Kathedrale</t>
  </si>
  <si>
    <t xml:space="preserve">Capilla Real Eintritt</t>
  </si>
  <si>
    <t xml:space="preserve">Capilla Real = Grab von Isabella &amp; Ferdinand (1492-Bezug); Renaissance-Kathedrale nebenan (optional). Öffnung bis ~18:30 prüfen</t>
  </si>
  <si>
    <t xml:space="preserve">Calle Alcaicería &amp; Plaza Isabel la Católica</t>
  </si>
  <si>
    <t xml:space="preserve">Alter Seidenmarkt-Basar (Souvenirs); Plaza Isabel la Católica mit Kolumbus-Denkmal (1492), abends beleuchtet</t>
  </si>
  <si>
    <t xml:space="preserve">El Huerto de Juan Ranas (Sunset-Drinks)</t>
  </si>
  <si>
    <t xml:space="preserve">Taxi in den Albaicín</t>
  </si>
  <si>
    <t xml:space="preserve">Terrasse mit direktem Alhambra-Blick; Sonnenuntergangs-Drinks; serviert auch Essen</t>
  </si>
  <si>
    <t xml:space="preserve">Abendessen (noch offen)</t>
  </si>
  <si>
    <t xml:space="preserve">Letzter Abend – z. B. El Huerto de Juan Ranas (Essen mit Alhambra-Blick) oder eine Tapas-/Weinbar. Danach früh schlafen (Abreise 06:45)</t>
  </si>
  <si>
    <t xml:space="preserve">Granada – Tapas-/Weinbars (Auswahl, optional)</t>
  </si>
  <si>
    <t xml:space="preserve">Bar Poë — internationale Tapas (Granada: Gratis-Tapa zum Getränk) || La Botillería — Tapas &amp; Wein || Taberna 22 — Tapas-Bar || Paprika San Agustín — vegetarisch-freundlich || Konkohones — Tapas-Bar || Pimienta Rosa — Restaurant || La Cata Con Botas — Weinbar</t>
  </si>
  <si>
    <t xml:space="preserve">Abfahrt Flughafen Barajas</t>
  </si>
  <si>
    <t xml:space="preserve">Granada→Barajas ~420 km / ~4h30–4h45 + Tankstopp</t>
  </si>
  <si>
    <t xml:space="preserve">FINAL: früh los (2 Nächte Granada). Vor Rückgabe VOLLTANKEN (Tankregelung "gleiche Füllung", sonst +27,59 €). Barajas-Anfahrt (M-40/M-45) vormittags zäh. Frühstück to-go</t>
  </si>
  <si>
    <t xml:space="preserve">Mietwagenrückgabe</t>
  </si>
  <si>
    <t xml:space="preserve">Barajas Terminal (AVIS)</t>
  </si>
  <si>
    <t xml:space="preserve">Vertragl. Rückgabe 13:00; Puffer vor Flug 14:55</t>
  </si>
  <si>
    <t xml:space="preserve">Flug nach München</t>
  </si>
  <si>
    <t xml:space="preserve">Rückreise</t>
  </si>
  <si>
    <t xml:space="preserve">Flug LH4163 gebucht</t>
  </si>
  <si>
    <t xml:space="preserve"> -</t>
  </si>
  <si>
    <t xml:space="preserve">Heimfahrt</t>
  </si>
  <si>
    <t xml:space="preserve">Thema</t>
  </si>
  <si>
    <t xml:space="preserve">Stand / Entscheidung</t>
  </si>
  <si>
    <t xml:space="preserve">Status</t>
  </si>
  <si>
    <t xml:space="preserve">Reisezeit</t>
  </si>
  <si>
    <t xml:space="preserve">26.08.–10.09.2026</t>
  </si>
  <si>
    <t xml:space="preserve">FIX</t>
  </si>
  <si>
    <t xml:space="preserve">Diät-Profil (maßgeblich)</t>
  </si>
  <si>
    <t xml:space="preserve">Alle 4: KEINE Innereien. Marlies: kein Fisch/MF, kein Wild. Beni &amp; Maxi: kein Fisch/MF außer Gambas, lieben Rind. Fez: isst alles, will öfter Fisch/Krustentiere. Gemüse: alle ok. FILTER: Pflicht Fleisch/Pasta (nicht Wild/Innereien-lastig); Bonus = Haus hat auch guten Fisch für Fez</t>
  </si>
  <si>
    <t xml:space="preserve">maßgeblich</t>
  </si>
  <si>
    <t xml:space="preserve">Flüge</t>
  </si>
  <si>
    <t xml:space="preserve">LH4162 Hin / LH4163 Rück</t>
  </si>
  <si>
    <t xml:space="preserve">FIX, nicht änderbar</t>
  </si>
  <si>
    <t xml:space="preserve">Mietwagen</t>
  </si>
  <si>
    <t xml:space="preserve">Volvo XC60 (Premium-SUV, Automatik, 5 Sitze, 2 gr.+1 kl. Koffer). Abholung Atocha 28.08 18:00, Rückgabe Barajas 10.09 13:00. Marlies als Zusatzfahrer. Versicherung+Zusatzfahrer bezahlt</t>
  </si>
  <si>
    <t xml:space="preserve">Hotels</t>
  </si>
  <si>
    <t xml:space="preserve">Alle über Booking, bis ~4 Tage vorher kostenlos stornierbar</t>
  </si>
  <si>
    <t xml:space="preserve">flexibel</t>
  </si>
  <si>
    <t xml:space="preserve">Alhambra</t>
  </si>
  <si>
    <t xml:space="preserve">09.09, Nasriden-Slot 10:00</t>
  </si>
  <si>
    <t xml:space="preserve">FIX, bezahlt</t>
  </si>
  <si>
    <t xml:space="preserve">Vorabend-Mietwagen</t>
  </si>
  <si>
    <t xml:space="preserve">Abholung 28.08 18:00 bleibt (Begründung Fez akzeptiert)</t>
  </si>
  <si>
    <t xml:space="preserve">entschieden</t>
  </si>
  <si>
    <t xml:space="preserve">Auf Sonnenuntergang verlegt (20:00–21:15)</t>
  </si>
  <si>
    <t xml:space="preserve">umgesetzt</t>
  </si>
  <si>
    <t xml:space="preserve">Hitze-Shift</t>
  </si>
  <si>
    <t xml:space="preserve">Plaza de Toros Sevilla aus Mittag in späten Nachmittag; Siesta-Fenster verlängert</t>
  </si>
  <si>
    <t xml:space="preserve">Frigiliana</t>
  </si>
  <si>
    <t xml:space="preserve">Tippfehler + Provinz korrigiert (Málaga)</t>
  </si>
  <si>
    <t xml:space="preserve">Pferderitt vs Quad</t>
  </si>
  <si>
    <t xml:space="preserve">Reiten gestrichen; Quadtour als flexible Option (Kids hinten mit)</t>
  </si>
  <si>
    <t xml:space="preserve">Wassersport</t>
  </si>
  <si>
    <t xml:space="preserve">3 flexible Halbtage, ENTSPANNT (1–3 reichen, kein Zwang). Levante nachm. stärker (Foilen), Poniente/vormittags ruhiger (Kurse). Morgens per Windguru. ION Club Valdevaqueros</t>
  </si>
  <si>
    <t xml:space="preserve">Tarifa-Ausflüge (entzerrt)</t>
  </si>
  <si>
    <t xml:space="preserve">Mi Basis · Do Gibraltar · Fr Wassersport+Vejer/Trafalgar · Sa Cádiz (Halbtag)+opt. Roche+opt. Düne Bolonia · So Feria/Cabalgata+Whale · Mo Basis+Quad. Jerez verworfen (Versehen)</t>
  </si>
  <si>
    <t xml:space="preserve">Flexibel/kein Muss (lose Einladung); am Cádiz-Tag auf dem Rückweg</t>
  </si>
  <si>
    <t xml:space="preserve">optional</t>
  </si>
  <si>
    <t xml:space="preserve">Tarifa-Feria</t>
  </si>
  <si>
    <t xml:space="preserve">06.–13.09; Cabalgata So 06.09 mitnehmen (Parkrisiko akzeptiert)</t>
  </si>
  <si>
    <t xml:space="preserve">Whale Watching</t>
  </si>
  <si>
    <t xml:space="preserve">FIRMM Gruppe – Google 4,7–4,8 (dt. Guides) &gt; Turmares 4,5. Windarmer Tag, 2–3 Tage vorher; privat = zu teuer</t>
  </si>
  <si>
    <t xml:space="preserve">BESTÄTIGT</t>
  </si>
  <si>
    <t xml:space="preserve">Gehobener Abend</t>
  </si>
  <si>
    <t xml:space="preserve">Granada Di 08.09 – Atelier Casa de Comidas (Bib Gourmand, 4,7). Albidaya wäre 1. Wahl, aber Di zu. Diät vorab anmelden</t>
  </si>
  <si>
    <t xml:space="preserve">Flamenco Sevilla</t>
  </si>
  <si>
    <t xml:space="preserve">El Arenal als Dinner &amp; Show (31.08, 21:30-Show); separates Essen entfällt</t>
  </si>
  <si>
    <t xml:space="preserve">Quadtour</t>
  </si>
  <si>
    <t xml:space="preserve">Quads Aventura Tarifa (4,9/470) o. Quads Tarifa (4,9/292); 2-Std.-Tour; Mitfahr-Alter Kids vorab klären</t>
  </si>
  <si>
    <t xml:space="preserve">Anbieter gefunden</t>
  </si>
  <si>
    <t xml:space="preserve">Kreditkarten Avis</t>
  </si>
  <si>
    <t xml:space="preserve">Visa easybank (6000€) + Miles&amp;More Gold/Mastercard (10000€): erfüllt Avis (2 Banken, MC als 2. Karte, &gt;4000€). Inhaber Ferenc Molnar + PINs bekannt (bestätigt Fez)</t>
  </si>
  <si>
    <t xml:space="preserve">OK – noch: Auslandsfreischaltung</t>
  </si>
  <si>
    <t xml:space="preserve">Feuerwerk Feria</t>
  </si>
  <si>
    <t xml:space="preserve">Großes Feuerwerk = Schlussnacht 13.09 – nach Abreise, NICHT erreichbar. Erreichbar: alumbrado 05.09 + Cabalgata 06.09</t>
  </si>
  <si>
    <t xml:space="preserve">dokumentiert</t>
  </si>
  <si>
    <t xml:space="preserve">Letzter Tag</t>
  </si>
  <si>
    <t xml:space="preserve">Madrid 27.08</t>
  </si>
  <si>
    <t xml:space="preserve">OFFENE PUNKTE / NÄCHSTE SCHRITTE</t>
  </si>
  <si>
    <t xml:space="preserve">Caminito del Rey: VERWORFEN (zu stressig) – bleibt draußen</t>
  </si>
  <si>
    <t xml:space="preserve">Google-Maps-CSV-Punkte in V14 integriert (Sights/Restaurants/Aussichten – „optional" markiert wo optional)</t>
  </si>
  <si>
    <t xml:space="preserve">AKTION: Letzter Abend Granada (09.09) noch festlegen – z. B. Sacromonte-Zambra / Hammam Al Ándalus / entspannt</t>
  </si>
  <si>
    <t xml:space="preserve">AKTION: FIRMM Whale Watching vor Ort/online buchen (2–3 Tage vorher), windarmen Tag wählen</t>
  </si>
  <si>
    <t xml:space="preserve">AKTION: Quadtour buchen (Tel.); Mitfahr-Alter für Beni/Maxi bestätigen lassen</t>
  </si>
  <si>
    <t xml:space="preserve">VORAB-TODO Kreditkarten: BEIDE Karten für Auslandszahlungen freischalten. (PINs bekannt – ok; beide laufen auf Ferenc Molnar – ok)</t>
  </si>
  <si>
    <t xml:space="preserve">ERLEDIGT: Kreditkarten-Eignung geprüft (OK) | Reisepässe vorhanden | Quad-Anbieter gefunden</t>
  </si>
  <si>
    <t xml:space="preserve">RESTAURANTS – Madrid + Córdoba + Sevilla + Granada + Tarifa-Block (Tarifa/Gibraltar/Cádiz/Vejer) ERLEDIGT. Offen: Granada letzter Abend (09.09), Mittag Ronda + Frigiliana, Madrid-Mittage (casual)</t>
  </si>
  <si>
    <t xml:space="preserve">AKTION Sevilla 31.08: El Arenal Dinner &amp; Show online buchen (21:30); Fleischmenü für Marlies/Maxi</t>
  </si>
  <si>
    <t xml:space="preserve">AKTION Granada 08.09: Atelier Casa de Comidas reservieren + Marlies/Maxi-Diät vorab anmelden</t>
  </si>
  <si>
    <t xml:space="preserve">Zu prüfen näher am Termin: Seilbahn-Gibraltar-Status, Plaza-de-Toros-Führungszeiten/Stierkampftage, exakte Sonnenuntergangszeiten, exakte Wale-Preise</t>
  </si>
  <si>
    <t xml:space="preserve">Tickets noch zu kaufen: Mezquita (Zeitfenster), Alcázar Córdoba, Flamenco El Arenal, Whale Watching, Rock-Tour Gibraltar</t>
  </si>
  <si>
    <t xml:space="preserve">Aktivität</t>
  </si>
  <si>
    <t xml:space="preserve">Wann NICHT möglich / harte Sperre</t>
  </si>
  <si>
    <t xml:space="preserve">Beste Zeit</t>
  </si>
  <si>
    <t xml:space="preserve">Vorlauf/Buchung</t>
  </si>
  <si>
    <t xml:space="preserve">Wind-Logik</t>
  </si>
  <si>
    <t xml:space="preserve">Wassersport (Foil/Kite)</t>
  </si>
  <si>
    <t xml:space="preserve">Bei Flaute oder Sturm (zu wenig/zu viel Wind)</t>
  </si>
  <si>
    <t xml:space="preserve">Je nach Thermik oft mittags/nachmittags</t>
  </si>
  <si>
    <t xml:space="preserve">Material vor Ort ION Club</t>
  </si>
  <si>
    <t xml:space="preserve">KERN – alles andere ist Schlechtwind-Alternative</t>
  </si>
  <si>
    <t xml:space="preserve">Bolonia / Baelo Claudia</t>
  </si>
  <si>
    <t xml:space="preserve">MONTAGS geschlossen; nur 09:00–15:00 (1.8.–15.9.)</t>
  </si>
  <si>
    <t xml:space="preserve">Vormittag</t>
  </si>
  <si>
    <t xml:space="preserve">Keine Reservierung nötig (EU frei)</t>
  </si>
  <si>
    <t xml:space="preserve">Top Flaute-Vormittagsziel (außer Mo 07.09)</t>
  </si>
  <si>
    <t xml:space="preserve">Gibraltar (Upper Rock)</t>
  </si>
  <si>
    <t xml:space="preserve">Reserve nach 17:45 kein Einlass; Seilbahn außer Betrieb</t>
  </si>
  <si>
    <t xml:space="preserve">Vormittag (Grenzstau abends)</t>
  </si>
  <si>
    <t xml:space="preserve">Rock-Tour-Minibus vorab; Reisepass</t>
  </si>
  <si>
    <t xml:space="preserve">Ganztags – an ruhigem/mäßigem Windtag</t>
  </si>
  <si>
    <t xml:space="preserve">Bei STARKEM WIND keine Ausfahrt</t>
  </si>
  <si>
    <t xml:space="preserve">Vormittag od. früher Nachmittag</t>
  </si>
  <si>
    <t xml:space="preserve">2–3 Tage vorher (FIRMM)</t>
  </si>
  <si>
    <t xml:space="preserve">Genau für windarme Tage = Foil-frei</t>
  </si>
  <si>
    <t xml:space="preserve">Praktisch keine harte Sperre (Stadt offen)</t>
  </si>
  <si>
    <t xml:space="preserve">Nachmittag→Abend (kühler, lebhaft)</t>
  </si>
  <si>
    <t xml:space="preserve">Keine</t>
  </si>
  <si>
    <t xml:space="preserve">Flexibel, gut bei wenig Wind nachmittags</t>
  </si>
  <si>
    <t xml:space="preserve">Vejer + Cap Trafalgar</t>
  </si>
  <si>
    <t xml:space="preserve">Trafalgar lohnt nur zum Sonnenuntergang</t>
  </si>
  <si>
    <t xml:space="preserve">Spätnachmittag→Sonnenuntergang (~20:50)</t>
  </si>
  <si>
    <t xml:space="preserve">Abendprogramm, windunabhängig</t>
  </si>
  <si>
    <t xml:space="preserve">Cabalgata Agrícola (Feria)</t>
  </si>
  <si>
    <t xml:space="preserve">Nur So 06.09 (einmaliger Termin)</t>
  </si>
  <si>
    <t xml:space="preserve">Späte Vormittag/Mittag</t>
  </si>
  <si>
    <t xml:space="preserve">—</t>
  </si>
  <si>
    <t xml:space="preserve">Fix-Anker; drumherum planen</t>
  </si>
  <si>
    <t xml:space="preserve">Quadtour (Option)</t>
  </si>
  <si>
    <t xml:space="preserve">Mittagshitze meiden</t>
  </si>
  <si>
    <t xml:space="preserve">Vormittag od. später Nachmittag</t>
  </si>
  <si>
    <t xml:space="preserve">Vorab buchen</t>
  </si>
  <si>
    <t xml:space="preserve">Flaute-Alternative für die Kids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</si>
</sst>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"/>
    <numFmt numFmtId="166" formatCode="hh:mm"/>
    <numFmt numFmtId="167" formatCode="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CE8D8"/>
        <bgColor rgb="FFFFFFFF"/>
      </patternFill>
    </fill>
    <fill>
      <patternFill patternType="solid">
        <fgColor rgb="FFD6E9F8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8D8"/>
      <rgbColor rgb="FFD6E9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1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1" topLeftCell="A2" activePane="bottomLeft" state="frozen"/>
      <selection pane="topLeft" activeCell="A1" activeCellId="0" sqref="A1"/>
      <selection pane="bottomLeft" activeCell="G35" activeCellId="0" sqref="G35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"/>
    <col collapsed="false" customWidth="true" hidden="false" outlineLevel="0" max="3" min="3" style="0" width="20"/>
    <col collapsed="false" customWidth="true" hidden="false" outlineLevel="0" max="5" min="4" style="0" width="9"/>
    <col collapsed="false" customWidth="true" hidden="false" outlineLevel="0" max="6" min="6" style="0" width="7"/>
    <col collapsed="false" customWidth="true" hidden="false" outlineLevel="0" max="7" min="7" style="0" width="30"/>
    <col collapsed="false" customWidth="true" hidden="false" outlineLevel="0" max="8" min="8" style="0" width="15"/>
    <col collapsed="false" customWidth="true" hidden="false" outlineLevel="0" max="9" min="9" style="0" width="26"/>
    <col collapsed="false" customWidth="true" hidden="false" outlineLevel="0" max="10" min="10" style="0" width="39.63"/>
    <col collapsed="false" customWidth="true" hidden="false" outlineLevel="0" max="11" min="11" style="0" width="80.54"/>
    <col collapsed="false" customWidth="true" hidden="false" outlineLevel="0" max="12" min="12" style="0" width="30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n">
        <v>46260</v>
      </c>
      <c r="B2" s="3" t="s">
        <v>12</v>
      </c>
      <c r="C2" s="3" t="s">
        <v>13</v>
      </c>
      <c r="D2" s="4" t="n">
        <v>0.354166666666667</v>
      </c>
      <c r="E2" s="4" t="n">
        <v>0.385416666666667</v>
      </c>
      <c r="F2" s="5" t="n">
        <f aca="false">E2-D2</f>
        <v>0.03125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</row>
    <row r="3" customFormat="false" ht="30" hidden="false" customHeight="true" outlineLevel="0" collapsed="false">
      <c r="A3" s="2" t="n">
        <v>46260</v>
      </c>
      <c r="B3" s="3" t="s">
        <v>12</v>
      </c>
      <c r="C3" s="3" t="s">
        <v>20</v>
      </c>
      <c r="D3" s="4" t="n">
        <v>0.475694444444444</v>
      </c>
      <c r="E3" s="4" t="n">
        <v>0.590277777777778</v>
      </c>
      <c r="F3" s="5" t="n">
        <f aca="false">E3-D3</f>
        <v>0.114583333333333</v>
      </c>
      <c r="G3" s="3" t="s">
        <v>21</v>
      </c>
      <c r="H3" s="3" t="s">
        <v>15</v>
      </c>
      <c r="I3" s="3"/>
      <c r="J3" s="3" t="s">
        <v>22</v>
      </c>
      <c r="K3" s="3" t="s">
        <v>23</v>
      </c>
      <c r="L3" s="3" t="s">
        <v>19</v>
      </c>
    </row>
    <row r="4" customFormat="false" ht="30" hidden="false" customHeight="true" outlineLevel="0" collapsed="false">
      <c r="A4" s="2" t="n">
        <v>46260</v>
      </c>
      <c r="B4" s="3" t="s">
        <v>12</v>
      </c>
      <c r="C4" s="3" t="s">
        <v>24</v>
      </c>
      <c r="D4" s="4" t="n">
        <v>0.625</v>
      </c>
      <c r="E4" s="4" t="n">
        <v>0.65625</v>
      </c>
      <c r="F4" s="5" t="n">
        <f aca="false">E4-D4</f>
        <v>0.03125</v>
      </c>
      <c r="G4" s="3" t="s">
        <v>25</v>
      </c>
      <c r="H4" s="3" t="s">
        <v>15</v>
      </c>
      <c r="I4" s="3" t="s">
        <v>26</v>
      </c>
      <c r="J4" s="3" t="s">
        <v>27</v>
      </c>
      <c r="K4" s="3" t="s">
        <v>28</v>
      </c>
      <c r="L4" s="3" t="s">
        <v>19</v>
      </c>
    </row>
    <row r="5" customFormat="false" ht="30" hidden="false" customHeight="true" outlineLevel="0" collapsed="false">
      <c r="A5" s="2" t="n">
        <v>46260</v>
      </c>
      <c r="B5" s="3" t="s">
        <v>12</v>
      </c>
      <c r="C5" s="3" t="s">
        <v>24</v>
      </c>
      <c r="D5" s="4" t="n">
        <v>0.666666666666667</v>
      </c>
      <c r="E5" s="4" t="n">
        <v>0.708333333333333</v>
      </c>
      <c r="F5" s="5" t="n">
        <f aca="false">E5-D5</f>
        <v>0.0416666666666667</v>
      </c>
      <c r="G5" s="3" t="s">
        <v>29</v>
      </c>
      <c r="H5" s="3" t="s">
        <v>30</v>
      </c>
      <c r="I5" s="3"/>
      <c r="J5" s="3" t="s">
        <v>27</v>
      </c>
      <c r="K5" s="3" t="s">
        <v>31</v>
      </c>
      <c r="L5" s="3" t="s">
        <v>32</v>
      </c>
    </row>
    <row r="6" customFormat="false" ht="30" hidden="false" customHeight="true" outlineLevel="0" collapsed="false">
      <c r="A6" s="6" t="n">
        <v>46260</v>
      </c>
      <c r="B6" s="7" t="s">
        <v>12</v>
      </c>
      <c r="C6" s="7" t="s">
        <v>24</v>
      </c>
      <c r="D6" s="8" t="n">
        <v>0.708333333333333</v>
      </c>
      <c r="E6" s="8" t="n">
        <v>0.75</v>
      </c>
      <c r="F6" s="9" t="n">
        <f aca="false">E6-D6</f>
        <v>0.0416666666666667</v>
      </c>
      <c r="G6" s="7" t="s">
        <v>33</v>
      </c>
      <c r="H6" s="7" t="s">
        <v>34</v>
      </c>
      <c r="I6" s="7"/>
      <c r="J6" s="7"/>
      <c r="K6" s="7"/>
      <c r="L6" s="7" t="s">
        <v>32</v>
      </c>
    </row>
    <row r="7" customFormat="false" ht="30" hidden="false" customHeight="true" outlineLevel="0" collapsed="false">
      <c r="A7" s="6" t="n">
        <v>46260</v>
      </c>
      <c r="B7" s="7" t="s">
        <v>12</v>
      </c>
      <c r="C7" s="7" t="s">
        <v>24</v>
      </c>
      <c r="D7" s="8" t="n">
        <v>0.770833333333333</v>
      </c>
      <c r="E7" s="8" t="n">
        <v>0.8125</v>
      </c>
      <c r="F7" s="9" t="n">
        <f aca="false">E7-D7</f>
        <v>0.0416666666666667</v>
      </c>
      <c r="G7" s="7" t="s">
        <v>35</v>
      </c>
      <c r="H7" s="7" t="s">
        <v>36</v>
      </c>
      <c r="I7" s="7"/>
      <c r="J7" s="7"/>
      <c r="K7" s="7" t="s">
        <v>37</v>
      </c>
      <c r="L7" s="7" t="s">
        <v>32</v>
      </c>
    </row>
    <row r="8" customFormat="false" ht="30" hidden="false" customHeight="true" outlineLevel="0" collapsed="false">
      <c r="A8" s="6" t="n">
        <v>46260</v>
      </c>
      <c r="B8" s="7" t="s">
        <v>12</v>
      </c>
      <c r="C8" s="7" t="s">
        <v>24</v>
      </c>
      <c r="D8" s="7"/>
      <c r="E8" s="7"/>
      <c r="F8" s="7"/>
      <c r="G8" s="7" t="s">
        <v>38</v>
      </c>
      <c r="H8" s="7" t="s">
        <v>39</v>
      </c>
      <c r="I8" s="7"/>
      <c r="J8" s="7"/>
      <c r="K8" s="7" t="s">
        <v>40</v>
      </c>
      <c r="L8" s="7" t="s">
        <v>32</v>
      </c>
    </row>
    <row r="9" customFormat="false" ht="30" hidden="false" customHeight="true" outlineLevel="0" collapsed="false">
      <c r="A9" s="2" t="n">
        <v>46260</v>
      </c>
      <c r="B9" s="3" t="s">
        <v>12</v>
      </c>
      <c r="C9" s="3" t="s">
        <v>24</v>
      </c>
      <c r="D9" s="4" t="n">
        <v>0.833333333333333</v>
      </c>
      <c r="E9" s="4" t="n">
        <v>0.916666666666667</v>
      </c>
      <c r="F9" s="5" t="n">
        <f aca="false">E9-D9</f>
        <v>0.0833333333333333</v>
      </c>
      <c r="G9" s="3" t="s">
        <v>41</v>
      </c>
      <c r="H9" s="3" t="s">
        <v>42</v>
      </c>
      <c r="I9" s="3"/>
      <c r="J9" s="3" t="s">
        <v>43</v>
      </c>
      <c r="K9" s="3" t="s">
        <v>44</v>
      </c>
      <c r="L9" s="3" t="s">
        <v>32</v>
      </c>
    </row>
    <row r="10" customFormat="false" ht="30" hidden="false" customHeight="true" outlineLevel="0" collapsed="false">
      <c r="A10" s="6" t="n">
        <v>46260</v>
      </c>
      <c r="B10" s="7" t="s">
        <v>12</v>
      </c>
      <c r="C10" s="7" t="s">
        <v>24</v>
      </c>
      <c r="D10" s="8" t="n">
        <v>0.916666666666667</v>
      </c>
      <c r="E10" s="8" t="n">
        <v>0.947916666666667</v>
      </c>
      <c r="F10" s="9" t="n">
        <f aca="false">E10-D10</f>
        <v>0.03125</v>
      </c>
      <c r="G10" s="7" t="s">
        <v>45</v>
      </c>
      <c r="H10" s="7" t="s">
        <v>46</v>
      </c>
      <c r="I10" s="7"/>
      <c r="J10" s="7"/>
      <c r="K10" s="7"/>
      <c r="L10" s="7" t="s">
        <v>32</v>
      </c>
    </row>
    <row r="11" customFormat="false" ht="30" hidden="false" customHeight="true" outlineLevel="0" collapsed="false">
      <c r="A11" s="6" t="n">
        <v>46260</v>
      </c>
      <c r="B11" s="7" t="s">
        <v>12</v>
      </c>
      <c r="C11" s="7" t="s">
        <v>24</v>
      </c>
      <c r="D11" s="8" t="n">
        <v>0.947916666666667</v>
      </c>
      <c r="E11" s="8" t="n">
        <v>0.96875</v>
      </c>
      <c r="F11" s="9" t="n">
        <f aca="false">E11-D11</f>
        <v>0.0208333333333333</v>
      </c>
      <c r="G11" s="7" t="s">
        <v>47</v>
      </c>
      <c r="H11" s="7" t="s">
        <v>48</v>
      </c>
      <c r="I11" s="7"/>
      <c r="J11" s="7"/>
      <c r="K11" s="7" t="s">
        <v>49</v>
      </c>
      <c r="L11" s="7" t="s">
        <v>32</v>
      </c>
    </row>
    <row r="12" customFormat="false" ht="30" hidden="false" customHeight="true" outlineLevel="0" collapsed="false">
      <c r="A12" s="6" t="n">
        <v>46261</v>
      </c>
      <c r="B12" s="7" t="s">
        <v>50</v>
      </c>
      <c r="C12" s="7" t="s">
        <v>24</v>
      </c>
      <c r="D12" s="8" t="n">
        <v>0.375</v>
      </c>
      <c r="E12" s="8" t="n">
        <v>0.40625</v>
      </c>
      <c r="F12" s="9" t="n">
        <f aca="false">E12-D12</f>
        <v>0.03125</v>
      </c>
      <c r="G12" s="7" t="s">
        <v>51</v>
      </c>
      <c r="H12" s="7" t="s">
        <v>52</v>
      </c>
      <c r="I12" s="7"/>
      <c r="J12" s="7"/>
      <c r="K12" s="7"/>
      <c r="L12" s="7" t="s">
        <v>32</v>
      </c>
    </row>
    <row r="13" customFormat="false" ht="30" hidden="false" customHeight="true" outlineLevel="0" collapsed="false">
      <c r="A13" s="2" t="n">
        <v>46261</v>
      </c>
      <c r="B13" s="3" t="s">
        <v>50</v>
      </c>
      <c r="C13" s="3" t="s">
        <v>24</v>
      </c>
      <c r="D13" s="4" t="n">
        <v>0.427083333333333</v>
      </c>
      <c r="E13" s="4" t="n">
        <v>0.5</v>
      </c>
      <c r="F13" s="5" t="n">
        <f aca="false">E13-D13</f>
        <v>0.0729166666666667</v>
      </c>
      <c r="G13" s="3" t="s">
        <v>53</v>
      </c>
      <c r="H13" s="3" t="s">
        <v>54</v>
      </c>
      <c r="I13" s="3"/>
      <c r="J13" s="3" t="s">
        <v>55</v>
      </c>
      <c r="K13" s="3" t="s">
        <v>56</v>
      </c>
      <c r="L13" s="3" t="s">
        <v>32</v>
      </c>
    </row>
    <row r="14" customFormat="false" ht="30" hidden="false" customHeight="true" outlineLevel="0" collapsed="false">
      <c r="A14" s="6" t="n">
        <v>46261</v>
      </c>
      <c r="B14" s="7" t="s">
        <v>50</v>
      </c>
      <c r="C14" s="7" t="s">
        <v>24</v>
      </c>
      <c r="D14" s="8" t="n">
        <v>0.506944444444444</v>
      </c>
      <c r="E14" s="8" t="n">
        <v>0.524305555555556</v>
      </c>
      <c r="F14" s="9" t="n">
        <f aca="false">E14-D14</f>
        <v>0.0173611111111111</v>
      </c>
      <c r="G14" s="7" t="s">
        <v>57</v>
      </c>
      <c r="H14" s="7" t="s">
        <v>58</v>
      </c>
      <c r="I14" s="7"/>
      <c r="J14" s="7"/>
      <c r="K14" s="7"/>
      <c r="L14" s="7" t="s">
        <v>32</v>
      </c>
    </row>
    <row r="15" customFormat="false" ht="30" hidden="false" customHeight="true" outlineLevel="0" collapsed="false">
      <c r="A15" s="6" t="n">
        <v>46261</v>
      </c>
      <c r="B15" s="7" t="s">
        <v>50</v>
      </c>
      <c r="C15" s="7" t="s">
        <v>24</v>
      </c>
      <c r="D15" s="8" t="n">
        <v>0.524305555555556</v>
      </c>
      <c r="E15" s="8" t="n">
        <v>0.541666666666667</v>
      </c>
      <c r="F15" s="9" t="n">
        <f aca="false">E15-D15</f>
        <v>0.0173611111111111</v>
      </c>
      <c r="G15" s="7" t="s">
        <v>59</v>
      </c>
      <c r="H15" s="7" t="s">
        <v>58</v>
      </c>
      <c r="I15" s="7"/>
      <c r="J15" s="7"/>
      <c r="K15" s="7"/>
      <c r="L15" s="7" t="s">
        <v>32</v>
      </c>
    </row>
    <row r="16" customFormat="false" ht="30" hidden="false" customHeight="true" outlineLevel="0" collapsed="false">
      <c r="A16" s="6" t="n">
        <v>46261</v>
      </c>
      <c r="B16" s="7" t="s">
        <v>50</v>
      </c>
      <c r="C16" s="7" t="s">
        <v>24</v>
      </c>
      <c r="D16" s="8" t="n">
        <v>0.541666666666667</v>
      </c>
      <c r="E16" s="8" t="n">
        <v>0.59375</v>
      </c>
      <c r="F16" s="9" t="n">
        <f aca="false">E16-D16</f>
        <v>0.0520833333333333</v>
      </c>
      <c r="G16" s="7" t="s">
        <v>60</v>
      </c>
      <c r="H16" s="7" t="s">
        <v>61</v>
      </c>
      <c r="I16" s="7"/>
      <c r="J16" s="7"/>
      <c r="K16" s="7" t="s">
        <v>62</v>
      </c>
      <c r="L16" s="7" t="s">
        <v>32</v>
      </c>
    </row>
    <row r="17" customFormat="false" ht="30" hidden="false" customHeight="true" outlineLevel="0" collapsed="false">
      <c r="A17" s="6" t="n">
        <v>46261</v>
      </c>
      <c r="B17" s="7" t="s">
        <v>50</v>
      </c>
      <c r="C17" s="7" t="s">
        <v>24</v>
      </c>
      <c r="D17" s="8" t="n">
        <v>0.645833333333333</v>
      </c>
      <c r="E17" s="8" t="n">
        <v>0.770833333333333</v>
      </c>
      <c r="F17" s="9" t="n">
        <f aca="false">E17-D17</f>
        <v>0.125</v>
      </c>
      <c r="G17" s="7" t="s">
        <v>63</v>
      </c>
      <c r="H17" s="7" t="s">
        <v>64</v>
      </c>
      <c r="I17" s="7"/>
      <c r="J17" s="7"/>
      <c r="K17" s="7" t="s">
        <v>65</v>
      </c>
      <c r="L17" s="7" t="s">
        <v>32</v>
      </c>
    </row>
    <row r="18" customFormat="false" ht="30" hidden="false" customHeight="true" outlineLevel="0" collapsed="false">
      <c r="A18" s="6" t="n">
        <v>46261</v>
      </c>
      <c r="B18" s="7" t="s">
        <v>50</v>
      </c>
      <c r="C18" s="7" t="s">
        <v>24</v>
      </c>
      <c r="D18" s="8" t="n">
        <v>0.78125</v>
      </c>
      <c r="E18" s="8" t="n">
        <v>0.822916666666667</v>
      </c>
      <c r="F18" s="9" t="n">
        <f aca="false">E18-D18</f>
        <v>0.0416666666666667</v>
      </c>
      <c r="G18" s="7" t="s">
        <v>66</v>
      </c>
      <c r="H18" s="7" t="s">
        <v>58</v>
      </c>
      <c r="I18" s="7"/>
      <c r="J18" s="7"/>
      <c r="K18" s="7" t="s">
        <v>67</v>
      </c>
      <c r="L18" s="7" t="s">
        <v>32</v>
      </c>
    </row>
    <row r="19" customFormat="false" ht="30" hidden="false" customHeight="true" outlineLevel="0" collapsed="false">
      <c r="A19" s="6" t="n">
        <v>46261</v>
      </c>
      <c r="B19" s="7" t="s">
        <v>50</v>
      </c>
      <c r="C19" s="7" t="s">
        <v>24</v>
      </c>
      <c r="D19" s="8" t="n">
        <v>0.833333333333333</v>
      </c>
      <c r="E19" s="8" t="n">
        <v>0.885416666666667</v>
      </c>
      <c r="F19" s="9" t="n">
        <f aca="false">E19-D19</f>
        <v>0.0520833333333333</v>
      </c>
      <c r="G19" s="7" t="s">
        <v>68</v>
      </c>
      <c r="H19" s="7" t="s">
        <v>69</v>
      </c>
      <c r="I19" s="7"/>
      <c r="J19" s="7"/>
      <c r="K19" s="7" t="s">
        <v>70</v>
      </c>
      <c r="L19" s="7" t="s">
        <v>32</v>
      </c>
    </row>
    <row r="20" customFormat="false" ht="30" hidden="false" customHeight="true" outlineLevel="0" collapsed="false">
      <c r="A20" s="2" t="n">
        <v>46261</v>
      </c>
      <c r="B20" s="3" t="s">
        <v>50</v>
      </c>
      <c r="C20" s="3" t="s">
        <v>24</v>
      </c>
      <c r="D20" s="4" t="n">
        <v>0.875</v>
      </c>
      <c r="E20" s="4" t="n">
        <v>0.958333333333333</v>
      </c>
      <c r="F20" s="5" t="n">
        <f aca="false">E20-D20</f>
        <v>0.0833333333333333</v>
      </c>
      <c r="G20" s="3" t="s">
        <v>71</v>
      </c>
      <c r="H20" s="3" t="s">
        <v>42</v>
      </c>
      <c r="I20" s="3"/>
      <c r="J20" s="3" t="s">
        <v>72</v>
      </c>
      <c r="K20" s="3" t="s">
        <v>73</v>
      </c>
      <c r="L20" s="3" t="s">
        <v>32</v>
      </c>
    </row>
    <row r="21" customFormat="false" ht="30" hidden="false" customHeight="true" outlineLevel="0" collapsed="false">
      <c r="A21" s="6" t="n">
        <v>46262</v>
      </c>
      <c r="B21" s="7" t="s">
        <v>74</v>
      </c>
      <c r="C21" s="7" t="s">
        <v>24</v>
      </c>
      <c r="D21" s="8" t="n">
        <v>0.375</v>
      </c>
      <c r="E21" s="8" t="n">
        <v>0.40625</v>
      </c>
      <c r="F21" s="9" t="n">
        <f aca="false">E21-D21</f>
        <v>0.03125</v>
      </c>
      <c r="G21" s="7" t="s">
        <v>51</v>
      </c>
      <c r="H21" s="7" t="s">
        <v>52</v>
      </c>
      <c r="I21" s="7"/>
      <c r="J21" s="7"/>
      <c r="K21" s="7"/>
      <c r="L21" s="7" t="s">
        <v>32</v>
      </c>
    </row>
    <row r="22" customFormat="false" ht="30" hidden="false" customHeight="true" outlineLevel="0" collapsed="false">
      <c r="A22" s="2" t="n">
        <v>46262</v>
      </c>
      <c r="B22" s="3" t="s">
        <v>74</v>
      </c>
      <c r="C22" s="3" t="s">
        <v>24</v>
      </c>
      <c r="D22" s="4" t="n">
        <v>0.4375</v>
      </c>
      <c r="E22" s="4" t="n">
        <v>0.520833333333333</v>
      </c>
      <c r="F22" s="5" t="n">
        <f aca="false">E22-D22</f>
        <v>0.0833333333333333</v>
      </c>
      <c r="G22" s="3" t="s">
        <v>75</v>
      </c>
      <c r="H22" s="3" t="s">
        <v>76</v>
      </c>
      <c r="I22" s="3"/>
      <c r="J22" s="3" t="s">
        <v>77</v>
      </c>
      <c r="K22" s="3" t="s">
        <v>78</v>
      </c>
      <c r="L22" s="3" t="s">
        <v>32</v>
      </c>
    </row>
    <row r="23" customFormat="false" ht="30" hidden="false" customHeight="true" outlineLevel="0" collapsed="false">
      <c r="A23" s="6" t="n">
        <v>46262</v>
      </c>
      <c r="B23" s="7" t="s">
        <v>74</v>
      </c>
      <c r="C23" s="7" t="s">
        <v>24</v>
      </c>
      <c r="D23" s="8" t="n">
        <v>0.520833333333333</v>
      </c>
      <c r="E23" s="8" t="n">
        <v>0.5625</v>
      </c>
      <c r="F23" s="9" t="n">
        <f aca="false">E23-D23</f>
        <v>0.0416666666666667</v>
      </c>
      <c r="G23" s="7" t="s">
        <v>79</v>
      </c>
      <c r="H23" s="7" t="s">
        <v>80</v>
      </c>
      <c r="I23" s="7"/>
      <c r="J23" s="7"/>
      <c r="K23" s="7" t="s">
        <v>81</v>
      </c>
      <c r="L23" s="7" t="s">
        <v>32</v>
      </c>
    </row>
    <row r="24" customFormat="false" ht="30" hidden="false" customHeight="true" outlineLevel="0" collapsed="false">
      <c r="A24" s="6" t="n">
        <v>46262</v>
      </c>
      <c r="B24" s="7" t="s">
        <v>74</v>
      </c>
      <c r="C24" s="7" t="s">
        <v>24</v>
      </c>
      <c r="D24" s="8" t="n">
        <v>0.572916666666667</v>
      </c>
      <c r="E24" s="8" t="n">
        <v>0.625</v>
      </c>
      <c r="F24" s="9" t="n">
        <f aca="false">E24-D24</f>
        <v>0.0520833333333333</v>
      </c>
      <c r="G24" s="7" t="s">
        <v>82</v>
      </c>
      <c r="H24" s="7" t="s">
        <v>83</v>
      </c>
      <c r="I24" s="7"/>
      <c r="J24" s="7"/>
      <c r="K24" s="7" t="s">
        <v>84</v>
      </c>
      <c r="L24" s="7" t="s">
        <v>32</v>
      </c>
    </row>
    <row r="25" customFormat="false" ht="30" hidden="false" customHeight="true" outlineLevel="0" collapsed="false">
      <c r="A25" s="6" t="n">
        <v>46262</v>
      </c>
      <c r="B25" s="7" t="s">
        <v>74</v>
      </c>
      <c r="C25" s="7" t="s">
        <v>24</v>
      </c>
      <c r="D25" s="8" t="n">
        <v>0.625</v>
      </c>
      <c r="E25" s="8" t="n">
        <v>0.65625</v>
      </c>
      <c r="F25" s="9" t="n">
        <f aca="false">E25-D25</f>
        <v>0.03125</v>
      </c>
      <c r="G25" s="7" t="s">
        <v>85</v>
      </c>
      <c r="H25" s="7" t="s">
        <v>83</v>
      </c>
      <c r="I25" s="7"/>
      <c r="J25" s="7"/>
      <c r="K25" s="7" t="s">
        <v>86</v>
      </c>
      <c r="L25" s="7" t="s">
        <v>32</v>
      </c>
    </row>
    <row r="26" customFormat="false" ht="30" hidden="false" customHeight="true" outlineLevel="0" collapsed="false">
      <c r="A26" s="6" t="n">
        <v>46262</v>
      </c>
      <c r="B26" s="7" t="s">
        <v>74</v>
      </c>
      <c r="C26" s="7" t="s">
        <v>24</v>
      </c>
      <c r="D26" s="8" t="n">
        <v>0.65625</v>
      </c>
      <c r="E26" s="8" t="n">
        <v>0.697916666666667</v>
      </c>
      <c r="F26" s="9" t="n">
        <f aca="false">E26-D26</f>
        <v>0.0416666666666667</v>
      </c>
      <c r="G26" s="7" t="s">
        <v>87</v>
      </c>
      <c r="H26" s="7" t="s">
        <v>83</v>
      </c>
      <c r="I26" s="7"/>
      <c r="J26" s="7"/>
      <c r="K26" s="7" t="s">
        <v>88</v>
      </c>
      <c r="L26" s="7" t="s">
        <v>32</v>
      </c>
    </row>
    <row r="27" customFormat="false" ht="30" hidden="false" customHeight="true" outlineLevel="0" collapsed="false">
      <c r="A27" s="6" t="n">
        <v>46262</v>
      </c>
      <c r="B27" s="7" t="s">
        <v>74</v>
      </c>
      <c r="C27" s="7" t="s">
        <v>24</v>
      </c>
      <c r="D27" s="8" t="n">
        <v>0.697916666666667</v>
      </c>
      <c r="E27" s="8" t="n">
        <v>0.729166666666667</v>
      </c>
      <c r="F27" s="9" t="n">
        <f aca="false">E27-D27</f>
        <v>0.03125</v>
      </c>
      <c r="G27" s="7" t="s">
        <v>89</v>
      </c>
      <c r="H27" s="7" t="s">
        <v>83</v>
      </c>
      <c r="I27" s="7"/>
      <c r="J27" s="7"/>
      <c r="K27" s="7" t="s">
        <v>90</v>
      </c>
      <c r="L27" s="7" t="s">
        <v>32</v>
      </c>
    </row>
    <row r="28" customFormat="false" ht="30" hidden="false" customHeight="true" outlineLevel="0" collapsed="false">
      <c r="A28" s="6" t="n">
        <v>46262</v>
      </c>
      <c r="B28" s="7" t="s">
        <v>74</v>
      </c>
      <c r="C28" s="7" t="s">
        <v>24</v>
      </c>
      <c r="D28" s="8" t="n">
        <v>0.729166666666667</v>
      </c>
      <c r="E28" s="8" t="n">
        <v>0.739583333333333</v>
      </c>
      <c r="F28" s="9" t="n">
        <f aca="false">E28-D28</f>
        <v>0.0104166666666667</v>
      </c>
      <c r="G28" s="7" t="s">
        <v>91</v>
      </c>
      <c r="H28" s="7" t="s">
        <v>39</v>
      </c>
      <c r="I28" s="7" t="s">
        <v>92</v>
      </c>
      <c r="J28" s="7"/>
      <c r="K28" s="7" t="s">
        <v>93</v>
      </c>
      <c r="L28" s="7" t="s">
        <v>32</v>
      </c>
    </row>
    <row r="29" customFormat="false" ht="30" hidden="false" customHeight="true" outlineLevel="0" collapsed="false">
      <c r="A29" s="2" t="n">
        <v>46262</v>
      </c>
      <c r="B29" s="3" t="s">
        <v>74</v>
      </c>
      <c r="C29" s="3" t="s">
        <v>24</v>
      </c>
      <c r="D29" s="4" t="n">
        <v>0.75</v>
      </c>
      <c r="E29" s="4" t="n">
        <v>0.770833333333333</v>
      </c>
      <c r="F29" s="5" t="n">
        <f aca="false">E29-D29</f>
        <v>0.0208333333333333</v>
      </c>
      <c r="G29" s="3" t="s">
        <v>94</v>
      </c>
      <c r="H29" s="3" t="s">
        <v>95</v>
      </c>
      <c r="I29" s="3" t="s">
        <v>96</v>
      </c>
      <c r="J29" s="3" t="s">
        <v>97</v>
      </c>
      <c r="K29" s="3" t="s">
        <v>98</v>
      </c>
      <c r="L29" s="3" t="s">
        <v>32</v>
      </c>
    </row>
    <row r="30" customFormat="false" ht="30" hidden="false" customHeight="true" outlineLevel="0" collapsed="false">
      <c r="A30" s="6" t="n">
        <v>46262</v>
      </c>
      <c r="B30" s="7" t="s">
        <v>74</v>
      </c>
      <c r="C30" s="7" t="s">
        <v>24</v>
      </c>
      <c r="D30" s="8" t="n">
        <v>0.770833333333333</v>
      </c>
      <c r="E30" s="8" t="n">
        <v>0.791666666666667</v>
      </c>
      <c r="F30" s="9" t="n">
        <f aca="false">E30-D30</f>
        <v>0.0208333333333333</v>
      </c>
      <c r="G30" s="7" t="s">
        <v>99</v>
      </c>
      <c r="H30" s="7" t="s">
        <v>95</v>
      </c>
      <c r="I30" s="7"/>
      <c r="J30" s="7"/>
      <c r="K30" s="7" t="s">
        <v>100</v>
      </c>
      <c r="L30" s="7" t="s">
        <v>32</v>
      </c>
    </row>
    <row r="31" customFormat="false" ht="30" hidden="false" customHeight="true" outlineLevel="0" collapsed="false">
      <c r="A31" s="6" t="n">
        <v>46262</v>
      </c>
      <c r="B31" s="7" t="s">
        <v>74</v>
      </c>
      <c r="C31" s="7" t="s">
        <v>24</v>
      </c>
      <c r="D31" s="8" t="n">
        <v>0.791666666666667</v>
      </c>
      <c r="E31" s="8" t="n">
        <v>0.833333333333333</v>
      </c>
      <c r="F31" s="9" t="n">
        <f aca="false">E31-D31</f>
        <v>0.0416666666666667</v>
      </c>
      <c r="G31" s="7" t="s">
        <v>33</v>
      </c>
      <c r="H31" s="7" t="s">
        <v>34</v>
      </c>
      <c r="I31" s="7"/>
      <c r="J31" s="7"/>
      <c r="K31" s="7" t="s">
        <v>101</v>
      </c>
      <c r="L31" s="7" t="s">
        <v>32</v>
      </c>
    </row>
    <row r="32" customFormat="false" ht="30" hidden="false" customHeight="true" outlineLevel="0" collapsed="false">
      <c r="A32" s="6" t="n">
        <v>46262</v>
      </c>
      <c r="B32" s="7" t="s">
        <v>74</v>
      </c>
      <c r="C32" s="7" t="s">
        <v>24</v>
      </c>
      <c r="D32" s="8" t="n">
        <v>0.833333333333333</v>
      </c>
      <c r="E32" s="8" t="n">
        <v>0.854166666666667</v>
      </c>
      <c r="F32" s="9" t="n">
        <f aca="false">E32-D32</f>
        <v>0.0208333333333333</v>
      </c>
      <c r="G32" s="7" t="s">
        <v>102</v>
      </c>
      <c r="H32" s="7" t="s">
        <v>103</v>
      </c>
      <c r="I32" s="7"/>
      <c r="J32" s="7"/>
      <c r="K32" s="7" t="s">
        <v>104</v>
      </c>
      <c r="L32" s="7" t="s">
        <v>32</v>
      </c>
    </row>
    <row r="33" customFormat="false" ht="30" hidden="false" customHeight="true" outlineLevel="0" collapsed="false">
      <c r="A33" s="2" t="n">
        <v>46262</v>
      </c>
      <c r="B33" s="3" t="s">
        <v>74</v>
      </c>
      <c r="C33" s="3" t="s">
        <v>24</v>
      </c>
      <c r="D33" s="4" t="n">
        <v>0.854166666666667</v>
      </c>
      <c r="E33" s="4" t="n">
        <v>0.916666666666667</v>
      </c>
      <c r="F33" s="5" t="n">
        <f aca="false">E33-D33</f>
        <v>0.0625</v>
      </c>
      <c r="G33" s="3" t="s">
        <v>105</v>
      </c>
      <c r="H33" s="3" t="s">
        <v>42</v>
      </c>
      <c r="I33" s="3"/>
      <c r="J33" s="3" t="s">
        <v>106</v>
      </c>
      <c r="K33" s="3" t="s">
        <v>107</v>
      </c>
      <c r="L33" s="3" t="s">
        <v>32</v>
      </c>
    </row>
    <row r="34" customFormat="false" ht="30" hidden="false" customHeight="true" outlineLevel="0" collapsed="false">
      <c r="A34" s="2" t="n">
        <v>46262</v>
      </c>
      <c r="B34" s="3" t="s">
        <v>74</v>
      </c>
      <c r="C34" s="3" t="s">
        <v>24</v>
      </c>
      <c r="D34" s="4" t="n">
        <v>0.875</v>
      </c>
      <c r="E34" s="4" t="n">
        <v>0.958333333333333</v>
      </c>
      <c r="F34" s="5" t="n">
        <f aca="false">E34-D34</f>
        <v>0.0833333333333333</v>
      </c>
      <c r="G34" s="3" t="s">
        <v>108</v>
      </c>
      <c r="H34" s="3" t="s">
        <v>42</v>
      </c>
      <c r="I34" s="3"/>
      <c r="J34" s="3" t="s">
        <v>109</v>
      </c>
      <c r="K34" s="3" t="s">
        <v>110</v>
      </c>
      <c r="L34" s="3" t="s">
        <v>32</v>
      </c>
    </row>
    <row r="35" customFormat="false" ht="30" hidden="false" customHeight="true" outlineLevel="0" collapsed="false">
      <c r="A35" s="6" t="n">
        <v>46262</v>
      </c>
      <c r="B35" s="7" t="s">
        <v>74</v>
      </c>
      <c r="C35" s="7" t="s">
        <v>24</v>
      </c>
      <c r="D35" s="7"/>
      <c r="E35" s="7"/>
      <c r="F35" s="7"/>
      <c r="G35" s="7" t="s">
        <v>111</v>
      </c>
      <c r="H35" s="7" t="s">
        <v>39</v>
      </c>
      <c r="I35" s="7"/>
      <c r="J35" s="7"/>
      <c r="K35" s="7" t="s">
        <v>112</v>
      </c>
      <c r="L35" s="7" t="s">
        <v>32</v>
      </c>
    </row>
    <row r="36" customFormat="false" ht="30" hidden="false" customHeight="true" outlineLevel="0" collapsed="false">
      <c r="A36" s="6" t="n">
        <v>46262</v>
      </c>
      <c r="B36" s="7" t="s">
        <v>74</v>
      </c>
      <c r="C36" s="7" t="s">
        <v>24</v>
      </c>
      <c r="D36" s="8" t="n">
        <v>0.916666666666667</v>
      </c>
      <c r="E36" s="8" t="n">
        <v>0.958333333333333</v>
      </c>
      <c r="F36" s="9" t="n">
        <f aca="false">E36-D36</f>
        <v>0.0416666666666667</v>
      </c>
      <c r="G36" s="7" t="s">
        <v>113</v>
      </c>
      <c r="H36" s="7" t="s">
        <v>46</v>
      </c>
      <c r="I36" s="7"/>
      <c r="J36" s="7"/>
      <c r="K36" s="7"/>
      <c r="L36" s="7" t="s">
        <v>32</v>
      </c>
    </row>
    <row r="37" customFormat="false" ht="30" hidden="false" customHeight="true" outlineLevel="0" collapsed="false">
      <c r="A37" s="6" t="n">
        <v>46263</v>
      </c>
      <c r="B37" s="7" t="s">
        <v>114</v>
      </c>
      <c r="C37" s="7" t="s">
        <v>24</v>
      </c>
      <c r="D37" s="8" t="n">
        <v>0.333333333333333</v>
      </c>
      <c r="E37" s="8" t="n">
        <v>0.364583333333333</v>
      </c>
      <c r="F37" s="9" t="n">
        <f aca="false">E37-D37</f>
        <v>0.03125</v>
      </c>
      <c r="G37" s="7" t="s">
        <v>52</v>
      </c>
      <c r="H37" s="7" t="s">
        <v>52</v>
      </c>
      <c r="I37" s="7"/>
      <c r="J37" s="7"/>
      <c r="K37" s="7"/>
      <c r="L37" s="7" t="s">
        <v>32</v>
      </c>
    </row>
    <row r="38" customFormat="false" ht="30" hidden="false" customHeight="true" outlineLevel="0" collapsed="false">
      <c r="A38" s="6" t="n">
        <v>46263</v>
      </c>
      <c r="B38" s="7" t="s">
        <v>114</v>
      </c>
      <c r="C38" s="7" t="s">
        <v>24</v>
      </c>
      <c r="D38" s="8" t="n">
        <v>0.364583333333333</v>
      </c>
      <c r="E38" s="8" t="n">
        <v>0.375</v>
      </c>
      <c r="F38" s="9" t="n">
        <f aca="false">E38-D38</f>
        <v>0.0104166666666667</v>
      </c>
      <c r="G38" s="7" t="s">
        <v>115</v>
      </c>
      <c r="H38" s="7" t="s">
        <v>30</v>
      </c>
      <c r="I38" s="7"/>
      <c r="J38" s="7"/>
      <c r="K38" s="7"/>
      <c r="L38" s="7" t="s">
        <v>32</v>
      </c>
    </row>
    <row r="39" customFormat="false" ht="30" hidden="false" customHeight="true" outlineLevel="0" collapsed="false">
      <c r="A39" s="6" t="n">
        <v>46263</v>
      </c>
      <c r="B39" s="7" t="s">
        <v>114</v>
      </c>
      <c r="C39" s="7" t="s">
        <v>24</v>
      </c>
      <c r="D39" s="8" t="n">
        <v>0.375</v>
      </c>
      <c r="E39" s="8" t="n">
        <v>0.541666666666667</v>
      </c>
      <c r="F39" s="9" t="n">
        <f aca="false">E39-D39</f>
        <v>0.166666666666667</v>
      </c>
      <c r="G39" s="7" t="s">
        <v>116</v>
      </c>
      <c r="H39" s="7" t="s">
        <v>95</v>
      </c>
      <c r="I39" s="7" t="s">
        <v>117</v>
      </c>
      <c r="J39" s="7"/>
      <c r="K39" s="7" t="s">
        <v>118</v>
      </c>
      <c r="L39" s="7" t="s">
        <v>119</v>
      </c>
    </row>
    <row r="40" customFormat="false" ht="30" hidden="false" customHeight="true" outlineLevel="0" collapsed="false">
      <c r="A40" s="6" t="n">
        <v>46263</v>
      </c>
      <c r="B40" s="7" t="s">
        <v>114</v>
      </c>
      <c r="C40" s="7" t="s">
        <v>120</v>
      </c>
      <c r="D40" s="8" t="n">
        <v>0.541666666666667</v>
      </c>
      <c r="E40" s="8" t="n">
        <v>0.5625</v>
      </c>
      <c r="F40" s="9" t="n">
        <f aca="false">E40-D40</f>
        <v>0.0208333333333333</v>
      </c>
      <c r="G40" s="7" t="s">
        <v>121</v>
      </c>
      <c r="H40" s="7" t="s">
        <v>30</v>
      </c>
      <c r="I40" s="7"/>
      <c r="J40" s="7"/>
      <c r="K40" s="7"/>
      <c r="L40" s="7" t="s">
        <v>119</v>
      </c>
    </row>
    <row r="41" customFormat="false" ht="30" hidden="false" customHeight="true" outlineLevel="0" collapsed="false">
      <c r="A41" s="6" t="n">
        <v>46263</v>
      </c>
      <c r="B41" s="7" t="s">
        <v>114</v>
      </c>
      <c r="C41" s="7" t="s">
        <v>120</v>
      </c>
      <c r="D41" s="8" t="n">
        <v>0.5625</v>
      </c>
      <c r="E41" s="8" t="n">
        <v>0.604166666666667</v>
      </c>
      <c r="F41" s="9" t="n">
        <f aca="false">E41-D41</f>
        <v>0.0416666666666667</v>
      </c>
      <c r="G41" s="7" t="s">
        <v>79</v>
      </c>
      <c r="H41" s="7" t="s">
        <v>80</v>
      </c>
      <c r="I41" s="7"/>
      <c r="J41" s="7"/>
      <c r="K41" s="7" t="s">
        <v>122</v>
      </c>
      <c r="L41" s="7" t="s">
        <v>119</v>
      </c>
    </row>
    <row r="42" customFormat="false" ht="30" hidden="false" customHeight="true" outlineLevel="0" collapsed="false">
      <c r="A42" s="6" t="n">
        <v>46263</v>
      </c>
      <c r="B42" s="7" t="s">
        <v>114</v>
      </c>
      <c r="C42" s="7" t="s">
        <v>120</v>
      </c>
      <c r="D42" s="8" t="n">
        <v>0.604166666666667</v>
      </c>
      <c r="E42" s="8" t="n">
        <v>0.729166666666667</v>
      </c>
      <c r="F42" s="9" t="n">
        <f aca="false">E42-D42</f>
        <v>0.125</v>
      </c>
      <c r="G42" s="7" t="s">
        <v>33</v>
      </c>
      <c r="H42" s="7" t="s">
        <v>34</v>
      </c>
      <c r="I42" s="7"/>
      <c r="J42" s="7"/>
      <c r="K42" s="7" t="s">
        <v>123</v>
      </c>
      <c r="L42" s="7" t="s">
        <v>119</v>
      </c>
    </row>
    <row r="43" customFormat="false" ht="30" hidden="false" customHeight="true" outlineLevel="0" collapsed="false">
      <c r="A43" s="6" t="n">
        <v>46263</v>
      </c>
      <c r="B43" s="7" t="s">
        <v>114</v>
      </c>
      <c r="C43" s="7" t="s">
        <v>120</v>
      </c>
      <c r="D43" s="8" t="n">
        <v>0.739583333333333</v>
      </c>
      <c r="E43" s="8" t="n">
        <v>0.78125</v>
      </c>
      <c r="F43" s="9" t="n">
        <f aca="false">E43-D43</f>
        <v>0.0416666666666667</v>
      </c>
      <c r="G43" s="7" t="s">
        <v>124</v>
      </c>
      <c r="H43" s="7" t="s">
        <v>125</v>
      </c>
      <c r="I43" s="7"/>
      <c r="J43" s="7"/>
      <c r="K43" s="7" t="s">
        <v>126</v>
      </c>
      <c r="L43" s="7" t="s">
        <v>119</v>
      </c>
    </row>
    <row r="44" customFormat="false" ht="30" hidden="false" customHeight="true" outlineLevel="0" collapsed="false">
      <c r="A44" s="6" t="n">
        <v>46263</v>
      </c>
      <c r="B44" s="7" t="s">
        <v>114</v>
      </c>
      <c r="C44" s="7" t="s">
        <v>120</v>
      </c>
      <c r="D44" s="8" t="n">
        <v>0.78125</v>
      </c>
      <c r="E44" s="8" t="n">
        <v>0.802083333333333</v>
      </c>
      <c r="F44" s="9" t="n">
        <f aca="false">E44-D44</f>
        <v>0.0208333333333333</v>
      </c>
      <c r="G44" s="7" t="s">
        <v>127</v>
      </c>
      <c r="H44" s="7" t="s">
        <v>58</v>
      </c>
      <c r="I44" s="7"/>
      <c r="J44" s="7"/>
      <c r="K44" s="7" t="s">
        <v>128</v>
      </c>
      <c r="L44" s="7" t="s">
        <v>119</v>
      </c>
    </row>
    <row r="45" customFormat="false" ht="30" hidden="false" customHeight="true" outlineLevel="0" collapsed="false">
      <c r="A45" s="6" t="n">
        <v>46263</v>
      </c>
      <c r="B45" s="7" t="s">
        <v>114</v>
      </c>
      <c r="C45" s="7" t="s">
        <v>120</v>
      </c>
      <c r="D45" s="8" t="n">
        <v>0.802083333333333</v>
      </c>
      <c r="E45" s="8" t="n">
        <v>0.819444444444444</v>
      </c>
      <c r="F45" s="9" t="n">
        <f aca="false">E45-D45</f>
        <v>0.0173611111111111</v>
      </c>
      <c r="G45" s="7" t="s">
        <v>129</v>
      </c>
      <c r="H45" s="7" t="s">
        <v>58</v>
      </c>
      <c r="I45" s="7"/>
      <c r="J45" s="7"/>
      <c r="K45" s="7"/>
      <c r="L45" s="7" t="s">
        <v>119</v>
      </c>
    </row>
    <row r="46" customFormat="false" ht="30" hidden="false" customHeight="true" outlineLevel="0" collapsed="false">
      <c r="A46" s="6" t="n">
        <v>46263</v>
      </c>
      <c r="B46" s="7" t="s">
        <v>114</v>
      </c>
      <c r="C46" s="7" t="s">
        <v>120</v>
      </c>
      <c r="D46" s="8" t="n">
        <v>0.822916666666667</v>
      </c>
      <c r="E46" s="8" t="n">
        <v>0.854166666666667</v>
      </c>
      <c r="F46" s="9" t="n">
        <f aca="false">E46-D46</f>
        <v>0.03125</v>
      </c>
      <c r="G46" s="7" t="s">
        <v>130</v>
      </c>
      <c r="H46" s="7" t="s">
        <v>131</v>
      </c>
      <c r="I46" s="7"/>
      <c r="J46" s="7"/>
      <c r="K46" s="7" t="s">
        <v>132</v>
      </c>
      <c r="L46" s="7" t="s">
        <v>119</v>
      </c>
    </row>
    <row r="47" customFormat="false" ht="30" hidden="false" customHeight="true" outlineLevel="0" collapsed="false">
      <c r="A47" s="6" t="n">
        <v>46263</v>
      </c>
      <c r="B47" s="7" t="s">
        <v>114</v>
      </c>
      <c r="C47" s="7" t="s">
        <v>120</v>
      </c>
      <c r="D47" s="8" t="n">
        <v>0.854166666666667</v>
      </c>
      <c r="E47" s="8" t="n">
        <v>0.864583333333333</v>
      </c>
      <c r="F47" s="9" t="n">
        <f aca="false">E47-D47</f>
        <v>0.0104166666666667</v>
      </c>
      <c r="G47" s="7" t="s">
        <v>133</v>
      </c>
      <c r="H47" s="7" t="s">
        <v>39</v>
      </c>
      <c r="I47" s="7"/>
      <c r="J47" s="7"/>
      <c r="K47" s="7" t="s">
        <v>134</v>
      </c>
      <c r="L47" s="7" t="s">
        <v>119</v>
      </c>
    </row>
    <row r="48" customFormat="false" ht="30" hidden="false" customHeight="true" outlineLevel="0" collapsed="false">
      <c r="A48" s="2" t="n">
        <v>46263</v>
      </c>
      <c r="B48" s="3" t="s">
        <v>114</v>
      </c>
      <c r="C48" s="3" t="s">
        <v>120</v>
      </c>
      <c r="D48" s="4" t="n">
        <v>0.854166666666667</v>
      </c>
      <c r="E48" s="4" t="n">
        <v>0.9375</v>
      </c>
      <c r="F48" s="5" t="n">
        <f aca="false">E48-D48</f>
        <v>0.0833333333333333</v>
      </c>
      <c r="G48" s="3" t="s">
        <v>135</v>
      </c>
      <c r="H48" s="3" t="s">
        <v>80</v>
      </c>
      <c r="I48" s="3"/>
      <c r="J48" s="3" t="s">
        <v>136</v>
      </c>
      <c r="K48" s="3" t="s">
        <v>137</v>
      </c>
      <c r="L48" s="3" t="s">
        <v>119</v>
      </c>
    </row>
    <row r="49" customFormat="false" ht="30" hidden="false" customHeight="true" outlineLevel="0" collapsed="false">
      <c r="A49" s="6" t="n">
        <v>46263</v>
      </c>
      <c r="B49" s="7" t="s">
        <v>114</v>
      </c>
      <c r="C49" s="7" t="s">
        <v>120</v>
      </c>
      <c r="D49" s="7"/>
      <c r="E49" s="7"/>
      <c r="F49" s="7"/>
      <c r="G49" s="7" t="s">
        <v>138</v>
      </c>
      <c r="H49" s="7" t="s">
        <v>39</v>
      </c>
      <c r="I49" s="7"/>
      <c r="J49" s="7"/>
      <c r="K49" s="7" t="s">
        <v>139</v>
      </c>
      <c r="L49" s="7" t="s">
        <v>119</v>
      </c>
    </row>
    <row r="50" customFormat="false" ht="30" hidden="false" customHeight="true" outlineLevel="0" collapsed="false">
      <c r="A50" s="6" t="n">
        <v>46263</v>
      </c>
      <c r="B50" s="7" t="s">
        <v>114</v>
      </c>
      <c r="C50" s="7" t="s">
        <v>120</v>
      </c>
      <c r="D50" s="7"/>
      <c r="E50" s="7"/>
      <c r="F50" s="7"/>
      <c r="G50" s="7" t="s">
        <v>140</v>
      </c>
      <c r="H50" s="7" t="s">
        <v>39</v>
      </c>
      <c r="I50" s="7"/>
      <c r="J50" s="7"/>
      <c r="K50" s="7" t="s">
        <v>141</v>
      </c>
      <c r="L50" s="7" t="s">
        <v>119</v>
      </c>
    </row>
    <row r="51" customFormat="false" ht="30" hidden="false" customHeight="true" outlineLevel="0" collapsed="false">
      <c r="A51" s="2" t="n">
        <v>46263</v>
      </c>
      <c r="B51" s="3" t="s">
        <v>114</v>
      </c>
      <c r="C51" s="3" t="s">
        <v>120</v>
      </c>
      <c r="D51" s="4" t="n">
        <v>0.864583333333333</v>
      </c>
      <c r="E51" s="4" t="n">
        <v>0.927083333333333</v>
      </c>
      <c r="F51" s="5" t="n">
        <f aca="false">E51-D51</f>
        <v>0.0625</v>
      </c>
      <c r="G51" s="3" t="s">
        <v>142</v>
      </c>
      <c r="H51" s="3" t="s">
        <v>80</v>
      </c>
      <c r="I51" s="3"/>
      <c r="J51" s="3" t="s">
        <v>143</v>
      </c>
      <c r="K51" s="3" t="s">
        <v>144</v>
      </c>
      <c r="L51" s="3" t="s">
        <v>119</v>
      </c>
    </row>
    <row r="52" customFormat="false" ht="30" hidden="false" customHeight="true" outlineLevel="0" collapsed="false">
      <c r="A52" s="6" t="n">
        <v>46264</v>
      </c>
      <c r="B52" s="7" t="s">
        <v>145</v>
      </c>
      <c r="C52" s="7" t="s">
        <v>120</v>
      </c>
      <c r="D52" s="8" t="n">
        <v>0.385416666666667</v>
      </c>
      <c r="E52" s="8" t="n">
        <v>0.4375</v>
      </c>
      <c r="F52" s="9" t="n">
        <f aca="false">E52-D52</f>
        <v>0.0520833333333333</v>
      </c>
      <c r="G52" s="7" t="s">
        <v>146</v>
      </c>
      <c r="H52" s="7" t="s">
        <v>147</v>
      </c>
      <c r="I52" s="7"/>
      <c r="J52" s="7" t="s">
        <v>148</v>
      </c>
      <c r="K52" s="7" t="s">
        <v>149</v>
      </c>
      <c r="L52" s="7" t="s">
        <v>119</v>
      </c>
    </row>
    <row r="53" customFormat="false" ht="30" hidden="false" customHeight="true" outlineLevel="0" collapsed="false">
      <c r="A53" s="6" t="n">
        <v>46264</v>
      </c>
      <c r="B53" s="7" t="s">
        <v>145</v>
      </c>
      <c r="C53" s="7" t="s">
        <v>120</v>
      </c>
      <c r="D53" s="8" t="n">
        <v>0.444444444444444</v>
      </c>
      <c r="E53" s="8" t="n">
        <v>0.486111111111111</v>
      </c>
      <c r="F53" s="9" t="n">
        <f aca="false">E53-D53</f>
        <v>0.0416666666666667</v>
      </c>
      <c r="G53" s="7" t="s">
        <v>150</v>
      </c>
      <c r="H53" s="7" t="s">
        <v>58</v>
      </c>
      <c r="I53" s="7"/>
      <c r="J53" s="7" t="s">
        <v>151</v>
      </c>
      <c r="K53" s="7" t="s">
        <v>152</v>
      </c>
      <c r="L53" s="7" t="s">
        <v>119</v>
      </c>
    </row>
    <row r="54" customFormat="false" ht="30" hidden="false" customHeight="true" outlineLevel="0" collapsed="false">
      <c r="A54" s="6" t="n">
        <v>46264</v>
      </c>
      <c r="B54" s="7" t="s">
        <v>145</v>
      </c>
      <c r="C54" s="7" t="s">
        <v>120</v>
      </c>
      <c r="D54" s="8" t="n">
        <v>0.520833333333333</v>
      </c>
      <c r="E54" s="8" t="n">
        <v>0.5625</v>
      </c>
      <c r="F54" s="9" t="n">
        <f aca="false">E54-D54</f>
        <v>0.0416666666666667</v>
      </c>
      <c r="G54" s="7" t="s">
        <v>153</v>
      </c>
      <c r="H54" s="7" t="s">
        <v>80</v>
      </c>
      <c r="I54" s="7"/>
      <c r="J54" s="7"/>
      <c r="K54" s="7" t="s">
        <v>154</v>
      </c>
      <c r="L54" s="7" t="s">
        <v>119</v>
      </c>
    </row>
    <row r="55" customFormat="false" ht="30" hidden="false" customHeight="true" outlineLevel="0" collapsed="false">
      <c r="A55" s="6" t="n">
        <v>46264</v>
      </c>
      <c r="B55" s="7" t="s">
        <v>145</v>
      </c>
      <c r="C55" s="7" t="s">
        <v>120</v>
      </c>
      <c r="D55" s="8" t="n">
        <v>0.583333333333333</v>
      </c>
      <c r="E55" s="8" t="n">
        <v>0.65625</v>
      </c>
      <c r="F55" s="9" t="n">
        <f aca="false">E55-D55</f>
        <v>0.0729166666666667</v>
      </c>
      <c r="G55" s="7" t="s">
        <v>155</v>
      </c>
      <c r="H55" s="7" t="s">
        <v>95</v>
      </c>
      <c r="I55" s="7" t="s">
        <v>156</v>
      </c>
      <c r="J55" s="7"/>
      <c r="K55" s="7"/>
      <c r="L55" s="7" t="s">
        <v>157</v>
      </c>
    </row>
    <row r="56" customFormat="false" ht="30" hidden="false" customHeight="true" outlineLevel="0" collapsed="false">
      <c r="A56" s="6" t="n">
        <v>46264</v>
      </c>
      <c r="B56" s="7" t="s">
        <v>145</v>
      </c>
      <c r="C56" s="7" t="s">
        <v>158</v>
      </c>
      <c r="D56" s="8" t="n">
        <v>0.65625</v>
      </c>
      <c r="E56" s="8" t="n">
        <v>0.677083333333333</v>
      </c>
      <c r="F56" s="9" t="n">
        <f aca="false">E56-D56</f>
        <v>0.0208333333333333</v>
      </c>
      <c r="G56" s="7" t="s">
        <v>159</v>
      </c>
      <c r="H56" s="7" t="s">
        <v>30</v>
      </c>
      <c r="I56" s="7"/>
      <c r="J56" s="7"/>
      <c r="K56" s="7"/>
      <c r="L56" s="7" t="s">
        <v>157</v>
      </c>
    </row>
    <row r="57" customFormat="false" ht="30" hidden="false" customHeight="true" outlineLevel="0" collapsed="false">
      <c r="A57" s="6" t="n">
        <v>46264</v>
      </c>
      <c r="B57" s="7" t="s">
        <v>145</v>
      </c>
      <c r="C57" s="7" t="s">
        <v>158</v>
      </c>
      <c r="D57" s="8" t="n">
        <v>0.677083333333333</v>
      </c>
      <c r="E57" s="8" t="n">
        <v>0.729166666666667</v>
      </c>
      <c r="F57" s="9" t="n">
        <f aca="false">E57-D57</f>
        <v>0.0520833333333333</v>
      </c>
      <c r="G57" s="7" t="s">
        <v>160</v>
      </c>
      <c r="H57" s="7" t="s">
        <v>34</v>
      </c>
      <c r="I57" s="7"/>
      <c r="J57" s="7"/>
      <c r="K57" s="7" t="s">
        <v>161</v>
      </c>
      <c r="L57" s="7" t="s">
        <v>157</v>
      </c>
    </row>
    <row r="58" customFormat="false" ht="30" hidden="false" customHeight="true" outlineLevel="0" collapsed="false">
      <c r="A58" s="6" t="n">
        <v>46264</v>
      </c>
      <c r="B58" s="7" t="s">
        <v>145</v>
      </c>
      <c r="C58" s="7" t="s">
        <v>158</v>
      </c>
      <c r="D58" s="8" t="n">
        <v>0.729166666666667</v>
      </c>
      <c r="E58" s="8" t="n">
        <v>0.760416666666667</v>
      </c>
      <c r="F58" s="9" t="n">
        <f aca="false">E58-D58</f>
        <v>0.03125</v>
      </c>
      <c r="G58" s="7" t="s">
        <v>162</v>
      </c>
      <c r="H58" s="7" t="s">
        <v>58</v>
      </c>
      <c r="I58" s="7"/>
      <c r="J58" s="7" t="s">
        <v>163</v>
      </c>
      <c r="K58" s="7" t="s">
        <v>164</v>
      </c>
      <c r="L58" s="7" t="s">
        <v>157</v>
      </c>
    </row>
    <row r="59" customFormat="false" ht="30" hidden="false" customHeight="true" outlineLevel="0" collapsed="false">
      <c r="A59" s="6" t="n">
        <v>46264</v>
      </c>
      <c r="B59" s="7" t="s">
        <v>145</v>
      </c>
      <c r="C59" s="7" t="s">
        <v>158</v>
      </c>
      <c r="D59" s="8" t="n">
        <v>0.763888888888889</v>
      </c>
      <c r="E59" s="8" t="n">
        <v>0.784722222222222</v>
      </c>
      <c r="F59" s="9" t="n">
        <f aca="false">E59-D59</f>
        <v>0.0208333333333333</v>
      </c>
      <c r="G59" s="7" t="s">
        <v>125</v>
      </c>
      <c r="H59" s="7" t="s">
        <v>58</v>
      </c>
      <c r="I59" s="7"/>
      <c r="J59" s="7"/>
      <c r="K59" s="7"/>
      <c r="L59" s="7" t="s">
        <v>157</v>
      </c>
    </row>
    <row r="60" customFormat="false" ht="30" hidden="false" customHeight="true" outlineLevel="0" collapsed="false">
      <c r="A60" s="6" t="n">
        <v>46264</v>
      </c>
      <c r="B60" s="7" t="s">
        <v>145</v>
      </c>
      <c r="C60" s="7" t="s">
        <v>158</v>
      </c>
      <c r="D60" s="8" t="n">
        <v>0.784722222222222</v>
      </c>
      <c r="E60" s="8" t="n">
        <v>0.798611111111111</v>
      </c>
      <c r="F60" s="9" t="n">
        <f aca="false">E60-D60</f>
        <v>0.0138888888888889</v>
      </c>
      <c r="G60" s="7" t="s">
        <v>165</v>
      </c>
      <c r="H60" s="7" t="s">
        <v>58</v>
      </c>
      <c r="I60" s="7"/>
      <c r="J60" s="7"/>
      <c r="K60" s="7" t="s">
        <v>166</v>
      </c>
      <c r="L60" s="7" t="s">
        <v>157</v>
      </c>
    </row>
    <row r="61" customFormat="false" ht="30" hidden="false" customHeight="true" outlineLevel="0" collapsed="false">
      <c r="A61" s="6" t="n">
        <v>46264</v>
      </c>
      <c r="B61" s="7" t="s">
        <v>145</v>
      </c>
      <c r="C61" s="7" t="s">
        <v>158</v>
      </c>
      <c r="D61" s="8" t="n">
        <v>0.798611111111111</v>
      </c>
      <c r="E61" s="8" t="n">
        <v>0.840277777777778</v>
      </c>
      <c r="F61" s="9" t="n">
        <f aca="false">E61-D61</f>
        <v>0.0416666666666667</v>
      </c>
      <c r="G61" s="7" t="s">
        <v>167</v>
      </c>
      <c r="H61" s="7" t="s">
        <v>125</v>
      </c>
      <c r="I61" s="7"/>
      <c r="J61" s="7"/>
      <c r="K61" s="7" t="s">
        <v>168</v>
      </c>
      <c r="L61" s="7" t="s">
        <v>157</v>
      </c>
    </row>
    <row r="62" customFormat="false" ht="30" hidden="false" customHeight="true" outlineLevel="0" collapsed="false">
      <c r="A62" s="6" t="n">
        <v>46264</v>
      </c>
      <c r="B62" s="7" t="s">
        <v>145</v>
      </c>
      <c r="C62" s="7" t="s">
        <v>158</v>
      </c>
      <c r="D62" s="8" t="n">
        <v>0.854166666666667</v>
      </c>
      <c r="E62" s="8" t="n">
        <v>0.9375</v>
      </c>
      <c r="F62" s="9" t="n">
        <f aca="false">E62-D62</f>
        <v>0.0833333333333333</v>
      </c>
      <c r="G62" s="7" t="s">
        <v>169</v>
      </c>
      <c r="H62" s="7" t="s">
        <v>42</v>
      </c>
      <c r="I62" s="7"/>
      <c r="J62" s="7" t="s">
        <v>170</v>
      </c>
      <c r="K62" s="7" t="s">
        <v>171</v>
      </c>
      <c r="L62" s="7" t="s">
        <v>157</v>
      </c>
    </row>
    <row r="63" customFormat="false" ht="30" hidden="false" customHeight="true" outlineLevel="0" collapsed="false">
      <c r="A63" s="2" t="n">
        <v>46265</v>
      </c>
      <c r="B63" s="3" t="s">
        <v>172</v>
      </c>
      <c r="C63" s="3" t="s">
        <v>158</v>
      </c>
      <c r="D63" s="4" t="n">
        <v>0.395833333333333</v>
      </c>
      <c r="E63" s="4" t="n">
        <v>0.479166666666667</v>
      </c>
      <c r="F63" s="5" t="n">
        <f aca="false">E63-D63</f>
        <v>0.0833333333333333</v>
      </c>
      <c r="G63" s="3" t="s">
        <v>173</v>
      </c>
      <c r="H63" s="3" t="s">
        <v>147</v>
      </c>
      <c r="I63" s="3"/>
      <c r="J63" s="3" t="s">
        <v>174</v>
      </c>
      <c r="K63" s="3" t="s">
        <v>175</v>
      </c>
      <c r="L63" s="3" t="s">
        <v>157</v>
      </c>
    </row>
    <row r="64" customFormat="false" ht="30" hidden="false" customHeight="true" outlineLevel="0" collapsed="false">
      <c r="A64" s="6" t="n">
        <v>46265</v>
      </c>
      <c r="B64" s="7" t="s">
        <v>172</v>
      </c>
      <c r="C64" s="7" t="s">
        <v>158</v>
      </c>
      <c r="D64" s="8" t="n">
        <v>0.5</v>
      </c>
      <c r="E64" s="8" t="n">
        <v>0.552083333333333</v>
      </c>
      <c r="F64" s="9" t="n">
        <f aca="false">E64-D64</f>
        <v>0.0520833333333333</v>
      </c>
      <c r="G64" s="7" t="s">
        <v>176</v>
      </c>
      <c r="H64" s="7" t="s">
        <v>80</v>
      </c>
      <c r="I64" s="7"/>
      <c r="J64" s="7"/>
      <c r="K64" s="7" t="s">
        <v>177</v>
      </c>
      <c r="L64" s="7" t="s">
        <v>157</v>
      </c>
    </row>
    <row r="65" customFormat="false" ht="30" hidden="false" customHeight="true" outlineLevel="0" collapsed="false">
      <c r="A65" s="6" t="n">
        <v>46265</v>
      </c>
      <c r="B65" s="7" t="s">
        <v>172</v>
      </c>
      <c r="C65" s="7" t="s">
        <v>158</v>
      </c>
      <c r="D65" s="8" t="n">
        <v>0.552083333333333</v>
      </c>
      <c r="E65" s="8" t="n">
        <v>0.708333333333333</v>
      </c>
      <c r="F65" s="9" t="n">
        <f aca="false">E65-D65</f>
        <v>0.15625</v>
      </c>
      <c r="G65" s="7" t="s">
        <v>63</v>
      </c>
      <c r="H65" s="7" t="s">
        <v>34</v>
      </c>
      <c r="I65" s="7"/>
      <c r="J65" s="7"/>
      <c r="K65" s="7" t="s">
        <v>178</v>
      </c>
      <c r="L65" s="7" t="s">
        <v>157</v>
      </c>
    </row>
    <row r="66" customFormat="false" ht="30" hidden="false" customHeight="true" outlineLevel="0" collapsed="false">
      <c r="A66" s="6" t="n">
        <v>46265</v>
      </c>
      <c r="B66" s="7" t="s">
        <v>172</v>
      </c>
      <c r="C66" s="7" t="s">
        <v>158</v>
      </c>
      <c r="D66" s="8" t="n">
        <v>0.697916666666667</v>
      </c>
      <c r="E66" s="8" t="n">
        <v>0.708333333333333</v>
      </c>
      <c r="F66" s="9" t="n">
        <f aca="false">E66-D66</f>
        <v>0.0104166666666667</v>
      </c>
      <c r="G66" s="7" t="s">
        <v>179</v>
      </c>
      <c r="H66" s="7" t="s">
        <v>39</v>
      </c>
      <c r="I66" s="7"/>
      <c r="J66" s="7"/>
      <c r="K66" s="7" t="s">
        <v>180</v>
      </c>
      <c r="L66" s="7" t="s">
        <v>157</v>
      </c>
    </row>
    <row r="67" customFormat="false" ht="30" hidden="false" customHeight="true" outlineLevel="0" collapsed="false">
      <c r="A67" s="6" t="n">
        <v>46265</v>
      </c>
      <c r="B67" s="7" t="s">
        <v>172</v>
      </c>
      <c r="C67" s="7" t="s">
        <v>158</v>
      </c>
      <c r="D67" s="8" t="n">
        <v>0.708333333333333</v>
      </c>
      <c r="E67" s="8" t="n">
        <v>0.760416666666667</v>
      </c>
      <c r="F67" s="9" t="n">
        <f aca="false">E67-D67</f>
        <v>0.0520833333333333</v>
      </c>
      <c r="G67" s="7" t="s">
        <v>66</v>
      </c>
      <c r="H67" s="7" t="s">
        <v>147</v>
      </c>
      <c r="I67" s="7"/>
      <c r="J67" s="7"/>
      <c r="K67" s="7"/>
      <c r="L67" s="7" t="s">
        <v>157</v>
      </c>
    </row>
    <row r="68" customFormat="false" ht="30" hidden="false" customHeight="true" outlineLevel="0" collapsed="false">
      <c r="A68" s="6" t="n">
        <v>46265</v>
      </c>
      <c r="B68" s="7" t="s">
        <v>172</v>
      </c>
      <c r="C68" s="7" t="s">
        <v>158</v>
      </c>
      <c r="D68" s="8" t="n">
        <v>0.760416666666667</v>
      </c>
      <c r="E68" s="8" t="n">
        <v>0.78125</v>
      </c>
      <c r="F68" s="9" t="n">
        <f aca="false">E68-D68</f>
        <v>0.0208333333333333</v>
      </c>
      <c r="G68" s="7" t="s">
        <v>181</v>
      </c>
      <c r="H68" s="7" t="s">
        <v>182</v>
      </c>
      <c r="I68" s="7"/>
      <c r="J68" s="7"/>
      <c r="K68" s="7" t="s">
        <v>183</v>
      </c>
      <c r="L68" s="7" t="s">
        <v>157</v>
      </c>
    </row>
    <row r="69" customFormat="false" ht="30" hidden="false" customHeight="true" outlineLevel="0" collapsed="false">
      <c r="A69" s="6" t="n">
        <v>46265</v>
      </c>
      <c r="B69" s="7" t="s">
        <v>172</v>
      </c>
      <c r="C69" s="7" t="s">
        <v>158</v>
      </c>
      <c r="D69" s="8" t="n">
        <v>0.78125</v>
      </c>
      <c r="E69" s="8" t="n">
        <v>0.8125</v>
      </c>
      <c r="F69" s="9" t="n">
        <f aca="false">E69-D69</f>
        <v>0.03125</v>
      </c>
      <c r="G69" s="7" t="s">
        <v>184</v>
      </c>
      <c r="H69" s="7" t="s">
        <v>58</v>
      </c>
      <c r="I69" s="7"/>
      <c r="J69" s="7" t="s">
        <v>185</v>
      </c>
      <c r="K69" s="7" t="s">
        <v>186</v>
      </c>
      <c r="L69" s="7" t="s">
        <v>157</v>
      </c>
    </row>
    <row r="70" customFormat="false" ht="30" hidden="false" customHeight="true" outlineLevel="0" collapsed="false">
      <c r="A70" s="6" t="n">
        <v>46265</v>
      </c>
      <c r="B70" s="7" t="s">
        <v>172</v>
      </c>
      <c r="C70" s="7" t="s">
        <v>158</v>
      </c>
      <c r="D70" s="8" t="n">
        <v>0.854166666666667</v>
      </c>
      <c r="E70" s="8" t="n">
        <v>0.958333333333333</v>
      </c>
      <c r="F70" s="9" t="n">
        <f aca="false">E70-D70</f>
        <v>0.104166666666667</v>
      </c>
      <c r="G70" s="7" t="s">
        <v>187</v>
      </c>
      <c r="H70" s="7" t="s">
        <v>188</v>
      </c>
      <c r="I70" s="7"/>
      <c r="J70" s="7" t="s">
        <v>189</v>
      </c>
      <c r="K70" s="7" t="s">
        <v>190</v>
      </c>
      <c r="L70" s="7" t="s">
        <v>157</v>
      </c>
    </row>
    <row r="71" customFormat="false" ht="30" hidden="false" customHeight="true" outlineLevel="0" collapsed="false">
      <c r="A71" s="6" t="n">
        <v>46266</v>
      </c>
      <c r="B71" s="7" t="s">
        <v>191</v>
      </c>
      <c r="C71" s="7" t="s">
        <v>158</v>
      </c>
      <c r="D71" s="8" t="n">
        <v>0.375</v>
      </c>
      <c r="E71" s="8" t="n">
        <v>0.458333333333333</v>
      </c>
      <c r="F71" s="9" t="n">
        <f aca="false">E71-D71</f>
        <v>0.0833333333333333</v>
      </c>
      <c r="G71" s="7" t="s">
        <v>192</v>
      </c>
      <c r="H71" s="7" t="s">
        <v>95</v>
      </c>
      <c r="I71" s="7" t="s">
        <v>193</v>
      </c>
      <c r="J71" s="7"/>
      <c r="K71" s="7"/>
      <c r="L71" s="7" t="s">
        <v>194</v>
      </c>
    </row>
    <row r="72" customFormat="false" ht="30" hidden="false" customHeight="true" outlineLevel="0" collapsed="false">
      <c r="A72" s="6" t="n">
        <v>46266</v>
      </c>
      <c r="B72" s="7" t="s">
        <v>191</v>
      </c>
      <c r="C72" s="7" t="s">
        <v>195</v>
      </c>
      <c r="D72" s="8" t="n">
        <v>0.458333333333333</v>
      </c>
      <c r="E72" s="8" t="n">
        <v>0.520833333333333</v>
      </c>
      <c r="F72" s="9" t="n">
        <f aca="false">E72-D72</f>
        <v>0.0625</v>
      </c>
      <c r="G72" s="7" t="s">
        <v>196</v>
      </c>
      <c r="H72" s="7" t="s">
        <v>197</v>
      </c>
      <c r="I72" s="7" t="s">
        <v>198</v>
      </c>
      <c r="J72" s="7"/>
      <c r="K72" s="7" t="s">
        <v>199</v>
      </c>
      <c r="L72" s="7" t="s">
        <v>194</v>
      </c>
    </row>
    <row r="73" customFormat="false" ht="30" hidden="false" customHeight="true" outlineLevel="0" collapsed="false">
      <c r="A73" s="2" t="n">
        <v>46266</v>
      </c>
      <c r="B73" s="3" t="s">
        <v>191</v>
      </c>
      <c r="C73" s="3" t="s">
        <v>195</v>
      </c>
      <c r="D73" s="4" t="n">
        <v>0.520833333333333</v>
      </c>
      <c r="E73" s="4" t="n">
        <v>0.5625</v>
      </c>
      <c r="F73" s="5" t="n">
        <f aca="false">E73-D73</f>
        <v>0.0416666666666667</v>
      </c>
      <c r="G73" s="3" t="s">
        <v>200</v>
      </c>
      <c r="H73" s="3" t="s">
        <v>58</v>
      </c>
      <c r="I73" s="3"/>
      <c r="J73" s="3" t="s">
        <v>201</v>
      </c>
      <c r="K73" s="3" t="s">
        <v>202</v>
      </c>
      <c r="L73" s="3" t="s">
        <v>194</v>
      </c>
    </row>
    <row r="74" customFormat="false" ht="30" hidden="false" customHeight="true" outlineLevel="0" collapsed="false">
      <c r="A74" s="6" t="n">
        <v>46266</v>
      </c>
      <c r="B74" s="7" t="s">
        <v>191</v>
      </c>
      <c r="C74" s="7" t="s">
        <v>195</v>
      </c>
      <c r="D74" s="8" t="n">
        <v>0.5625</v>
      </c>
      <c r="E74" s="8" t="n">
        <v>0.614583333333333</v>
      </c>
      <c r="F74" s="9" t="n">
        <f aca="false">E74-D74</f>
        <v>0.0520833333333333</v>
      </c>
      <c r="G74" s="7" t="s">
        <v>203</v>
      </c>
      <c r="H74" s="7" t="s">
        <v>80</v>
      </c>
      <c r="I74" s="7"/>
      <c r="J74" s="7"/>
      <c r="K74" s="7" t="s">
        <v>122</v>
      </c>
      <c r="L74" s="7" t="s">
        <v>194</v>
      </c>
    </row>
    <row r="75" customFormat="false" ht="30" hidden="false" customHeight="true" outlineLevel="0" collapsed="false">
      <c r="A75" s="6" t="n">
        <v>46266</v>
      </c>
      <c r="B75" s="7" t="s">
        <v>191</v>
      </c>
      <c r="C75" s="7" t="s">
        <v>204</v>
      </c>
      <c r="D75" s="8" t="n">
        <v>0.614583333333333</v>
      </c>
      <c r="E75" s="8" t="n">
        <v>0.6875</v>
      </c>
      <c r="F75" s="9" t="n">
        <f aca="false">E75-D75</f>
        <v>0.0729166666666667</v>
      </c>
      <c r="G75" s="7" t="s">
        <v>205</v>
      </c>
      <c r="H75" s="7" t="s">
        <v>95</v>
      </c>
      <c r="I75" s="7" t="s">
        <v>206</v>
      </c>
      <c r="J75" s="7"/>
      <c r="K75" s="7"/>
      <c r="L75" s="7" t="s">
        <v>194</v>
      </c>
    </row>
    <row r="76" customFormat="false" ht="30" hidden="false" customHeight="true" outlineLevel="0" collapsed="false">
      <c r="A76" s="6" t="n">
        <v>46266</v>
      </c>
      <c r="B76" s="7" t="s">
        <v>191</v>
      </c>
      <c r="C76" s="7" t="s">
        <v>204</v>
      </c>
      <c r="D76" s="8" t="n">
        <v>0.6875</v>
      </c>
      <c r="E76" s="8" t="n">
        <v>0.708333333333333</v>
      </c>
      <c r="F76" s="9" t="n">
        <f aca="false">E76-D76</f>
        <v>0.0208333333333333</v>
      </c>
      <c r="G76" s="7" t="s">
        <v>207</v>
      </c>
      <c r="H76" s="7" t="s">
        <v>30</v>
      </c>
      <c r="I76" s="7"/>
      <c r="J76" s="7"/>
      <c r="K76" s="7" t="s">
        <v>208</v>
      </c>
      <c r="L76" s="7" t="s">
        <v>194</v>
      </c>
    </row>
    <row r="77" customFormat="false" ht="30" hidden="false" customHeight="true" outlineLevel="0" collapsed="false">
      <c r="A77" s="6" t="n">
        <v>46266</v>
      </c>
      <c r="B77" s="7" t="s">
        <v>191</v>
      </c>
      <c r="C77" s="7" t="s">
        <v>204</v>
      </c>
      <c r="D77" s="8" t="n">
        <v>0.708333333333333</v>
      </c>
      <c r="E77" s="8" t="n">
        <v>0.8125</v>
      </c>
      <c r="F77" s="9" t="n">
        <f aca="false">E77-D77</f>
        <v>0.104166666666667</v>
      </c>
      <c r="G77" s="7" t="s">
        <v>209</v>
      </c>
      <c r="H77" s="7" t="s">
        <v>34</v>
      </c>
      <c r="I77" s="7"/>
      <c r="J77" s="7"/>
      <c r="K77" s="7"/>
      <c r="L77" s="7" t="s">
        <v>194</v>
      </c>
    </row>
    <row r="78" customFormat="false" ht="30" hidden="false" customHeight="true" outlineLevel="0" collapsed="false">
      <c r="A78" s="6" t="n">
        <v>46266</v>
      </c>
      <c r="B78" s="7" t="s">
        <v>191</v>
      </c>
      <c r="C78" s="7" t="s">
        <v>204</v>
      </c>
      <c r="D78" s="8" t="n">
        <v>0.854166666666667</v>
      </c>
      <c r="E78" s="8" t="n">
        <v>0.916666666666667</v>
      </c>
      <c r="F78" s="9" t="n">
        <f aca="false">E78-D78</f>
        <v>0.0625</v>
      </c>
      <c r="G78" s="7" t="s">
        <v>42</v>
      </c>
      <c r="H78" s="7" t="s">
        <v>80</v>
      </c>
      <c r="I78" s="7"/>
      <c r="J78" s="7"/>
      <c r="K78" s="7" t="s">
        <v>210</v>
      </c>
      <c r="L78" s="7" t="s">
        <v>194</v>
      </c>
    </row>
    <row r="79" customFormat="false" ht="30" hidden="false" customHeight="true" outlineLevel="0" collapsed="false">
      <c r="A79" s="10" t="n">
        <v>46267</v>
      </c>
      <c r="B79" s="11" t="s">
        <v>12</v>
      </c>
      <c r="C79" s="11" t="s">
        <v>204</v>
      </c>
      <c r="D79" s="12" t="n">
        <v>0.416666666666667</v>
      </c>
      <c r="E79" s="12" t="n">
        <v>0.5</v>
      </c>
      <c r="F79" s="13" t="n">
        <f aca="false">E79-D79</f>
        <v>0.0833333333333333</v>
      </c>
      <c r="G79" s="11" t="s">
        <v>211</v>
      </c>
      <c r="H79" s="11" t="s">
        <v>212</v>
      </c>
      <c r="I79" s="11"/>
      <c r="J79" s="11" t="s">
        <v>213</v>
      </c>
      <c r="K79" s="11" t="s">
        <v>214</v>
      </c>
      <c r="L79" s="11" t="s">
        <v>194</v>
      </c>
    </row>
    <row r="80" customFormat="false" ht="30" hidden="false" customHeight="true" outlineLevel="0" collapsed="false">
      <c r="A80" s="6" t="n">
        <v>46267</v>
      </c>
      <c r="B80" s="7" t="s">
        <v>12</v>
      </c>
      <c r="C80" s="7" t="s">
        <v>204</v>
      </c>
      <c r="D80" s="8" t="n">
        <v>0.5</v>
      </c>
      <c r="E80" s="8" t="n">
        <v>0.6875</v>
      </c>
      <c r="F80" s="9" t="n">
        <f aca="false">E80-D80</f>
        <v>0.1875</v>
      </c>
      <c r="G80" s="7" t="s">
        <v>215</v>
      </c>
      <c r="H80" s="7" t="s">
        <v>34</v>
      </c>
      <c r="I80" s="7"/>
      <c r="J80" s="7"/>
      <c r="K80" s="7"/>
      <c r="L80" s="7" t="s">
        <v>194</v>
      </c>
    </row>
    <row r="81" customFormat="false" ht="30" hidden="false" customHeight="true" outlineLevel="0" collapsed="false">
      <c r="A81" s="6" t="n">
        <v>46267</v>
      </c>
      <c r="B81" s="7" t="s">
        <v>12</v>
      </c>
      <c r="C81" s="7" t="s">
        <v>204</v>
      </c>
      <c r="D81" s="8" t="n">
        <v>0.708333333333333</v>
      </c>
      <c r="E81" s="8" t="n">
        <v>0.8125</v>
      </c>
      <c r="F81" s="9" t="n">
        <f aca="false">E81-D81</f>
        <v>0.104166666666667</v>
      </c>
      <c r="G81" s="7" t="s">
        <v>216</v>
      </c>
      <c r="H81" s="7" t="s">
        <v>58</v>
      </c>
      <c r="I81" s="7"/>
      <c r="J81" s="7"/>
      <c r="K81" s="7" t="s">
        <v>217</v>
      </c>
      <c r="L81" s="7" t="s">
        <v>194</v>
      </c>
    </row>
    <row r="82" customFormat="false" ht="30" hidden="false" customHeight="true" outlineLevel="0" collapsed="false">
      <c r="A82" s="6" t="n">
        <v>46267</v>
      </c>
      <c r="B82" s="7" t="s">
        <v>12</v>
      </c>
      <c r="C82" s="7" t="s">
        <v>204</v>
      </c>
      <c r="D82" s="8" t="n">
        <v>0.854166666666667</v>
      </c>
      <c r="E82" s="8" t="n">
        <v>0.916666666666667</v>
      </c>
      <c r="F82" s="9" t="n">
        <f aca="false">E82-D82</f>
        <v>0.0625</v>
      </c>
      <c r="G82" s="7" t="s">
        <v>218</v>
      </c>
      <c r="H82" s="7" t="s">
        <v>80</v>
      </c>
      <c r="I82" s="7"/>
      <c r="J82" s="7" t="s">
        <v>170</v>
      </c>
      <c r="K82" s="7" t="s">
        <v>219</v>
      </c>
      <c r="L82" s="7" t="s">
        <v>194</v>
      </c>
    </row>
    <row r="83" customFormat="false" ht="30" hidden="false" customHeight="true" outlineLevel="0" collapsed="false">
      <c r="A83" s="6" t="n">
        <v>46268</v>
      </c>
      <c r="B83" s="7" t="s">
        <v>50</v>
      </c>
      <c r="C83" s="7" t="s">
        <v>220</v>
      </c>
      <c r="D83" s="8" t="n">
        <v>0.40625</v>
      </c>
      <c r="E83" s="8" t="n">
        <v>0.458333333333333</v>
      </c>
      <c r="F83" s="9" t="n">
        <f aca="false">E83-D83</f>
        <v>0.0520833333333333</v>
      </c>
      <c r="G83" s="7" t="s">
        <v>221</v>
      </c>
      <c r="H83" s="7" t="s">
        <v>222</v>
      </c>
      <c r="I83" s="7" t="s">
        <v>223</v>
      </c>
      <c r="J83" s="7" t="s">
        <v>224</v>
      </c>
      <c r="K83" s="7" t="s">
        <v>225</v>
      </c>
      <c r="L83" s="7" t="s">
        <v>194</v>
      </c>
    </row>
    <row r="84" customFormat="false" ht="30" hidden="false" customHeight="true" outlineLevel="0" collapsed="false">
      <c r="A84" s="6" t="n">
        <v>46268</v>
      </c>
      <c r="B84" s="7" t="s">
        <v>50</v>
      </c>
      <c r="C84" s="7" t="s">
        <v>220</v>
      </c>
      <c r="D84" s="8" t="n">
        <v>0.458333333333333</v>
      </c>
      <c r="E84" s="8" t="n">
        <v>0.489583333333333</v>
      </c>
      <c r="F84" s="9" t="n">
        <f aca="false">E84-D84</f>
        <v>0.03125</v>
      </c>
      <c r="G84" s="7" t="s">
        <v>226</v>
      </c>
      <c r="H84" s="7" t="s">
        <v>58</v>
      </c>
      <c r="I84" s="7"/>
      <c r="J84" s="7"/>
      <c r="K84" s="7" t="s">
        <v>227</v>
      </c>
      <c r="L84" s="7" t="s">
        <v>194</v>
      </c>
    </row>
    <row r="85" customFormat="false" ht="30" hidden="false" customHeight="true" outlineLevel="0" collapsed="false">
      <c r="A85" s="6" t="n">
        <v>46268</v>
      </c>
      <c r="B85" s="7" t="s">
        <v>50</v>
      </c>
      <c r="C85" s="7" t="s">
        <v>220</v>
      </c>
      <c r="D85" s="8" t="n">
        <v>0.489583333333333</v>
      </c>
      <c r="E85" s="8" t="n">
        <v>0.520833333333333</v>
      </c>
      <c r="F85" s="9" t="n">
        <f aca="false">E85-D85</f>
        <v>0.03125</v>
      </c>
      <c r="G85" s="7" t="s">
        <v>228</v>
      </c>
      <c r="H85" s="7" t="s">
        <v>131</v>
      </c>
      <c r="I85" s="7"/>
      <c r="J85" s="7"/>
      <c r="K85" s="7" t="s">
        <v>229</v>
      </c>
      <c r="L85" s="7" t="s">
        <v>194</v>
      </c>
    </row>
    <row r="86" customFormat="false" ht="30" hidden="false" customHeight="true" outlineLevel="0" collapsed="false">
      <c r="A86" s="6" t="n">
        <v>46268</v>
      </c>
      <c r="B86" s="7" t="s">
        <v>50</v>
      </c>
      <c r="C86" s="7" t="s">
        <v>220</v>
      </c>
      <c r="D86" s="8" t="n">
        <v>0.520833333333333</v>
      </c>
      <c r="E86" s="8" t="n">
        <v>0.583333333333333</v>
      </c>
      <c r="F86" s="9" t="n">
        <f aca="false">E86-D86</f>
        <v>0.0625</v>
      </c>
      <c r="G86" s="7" t="s">
        <v>230</v>
      </c>
      <c r="H86" s="7" t="s">
        <v>80</v>
      </c>
      <c r="I86" s="7"/>
      <c r="J86" s="7" t="s">
        <v>170</v>
      </c>
      <c r="K86" s="7" t="s">
        <v>231</v>
      </c>
      <c r="L86" s="7" t="s">
        <v>194</v>
      </c>
    </row>
    <row r="87" customFormat="false" ht="30" hidden="false" customHeight="true" outlineLevel="0" collapsed="false">
      <c r="A87" s="6" t="n">
        <v>46268</v>
      </c>
      <c r="B87" s="7" t="s">
        <v>50</v>
      </c>
      <c r="C87" s="7" t="s">
        <v>220</v>
      </c>
      <c r="D87" s="8" t="n">
        <v>0.583333333333333</v>
      </c>
      <c r="E87" s="8" t="n">
        <v>0.708333333333333</v>
      </c>
      <c r="F87" s="9" t="n">
        <f aca="false">E87-D87</f>
        <v>0.125</v>
      </c>
      <c r="G87" s="7" t="s">
        <v>232</v>
      </c>
      <c r="H87" s="7" t="s">
        <v>233</v>
      </c>
      <c r="I87" s="7"/>
      <c r="J87" s="7"/>
      <c r="K87" s="7" t="s">
        <v>234</v>
      </c>
      <c r="L87" s="7" t="s">
        <v>194</v>
      </c>
    </row>
    <row r="88" customFormat="false" ht="30" hidden="false" customHeight="true" outlineLevel="0" collapsed="false">
      <c r="A88" s="6" t="n">
        <v>46268</v>
      </c>
      <c r="B88" s="7" t="s">
        <v>50</v>
      </c>
      <c r="C88" s="7" t="s">
        <v>204</v>
      </c>
      <c r="D88" s="8" t="n">
        <v>0.854166666666667</v>
      </c>
      <c r="E88" s="8" t="n">
        <v>0.916666666666667</v>
      </c>
      <c r="F88" s="9" t="n">
        <f aca="false">E88-D88</f>
        <v>0.0625</v>
      </c>
      <c r="G88" s="7" t="s">
        <v>235</v>
      </c>
      <c r="H88" s="7" t="s">
        <v>80</v>
      </c>
      <c r="I88" s="7" t="s">
        <v>236</v>
      </c>
      <c r="J88" s="7" t="s">
        <v>237</v>
      </c>
      <c r="K88" s="7" t="s">
        <v>238</v>
      </c>
      <c r="L88" s="7" t="s">
        <v>194</v>
      </c>
    </row>
    <row r="89" customFormat="false" ht="30" hidden="false" customHeight="true" outlineLevel="0" collapsed="false">
      <c r="A89" s="10" t="n">
        <v>46269</v>
      </c>
      <c r="B89" s="11" t="s">
        <v>74</v>
      </c>
      <c r="C89" s="11" t="s">
        <v>204</v>
      </c>
      <c r="D89" s="12" t="n">
        <v>0.416666666666667</v>
      </c>
      <c r="E89" s="12" t="n">
        <v>0.5</v>
      </c>
      <c r="F89" s="13" t="n">
        <f aca="false">E89-D89</f>
        <v>0.0833333333333333</v>
      </c>
      <c r="G89" s="11" t="s">
        <v>239</v>
      </c>
      <c r="H89" s="11" t="s">
        <v>212</v>
      </c>
      <c r="I89" s="11"/>
      <c r="J89" s="11" t="s">
        <v>240</v>
      </c>
      <c r="K89" s="11" t="s">
        <v>241</v>
      </c>
      <c r="L89" s="11" t="s">
        <v>194</v>
      </c>
    </row>
    <row r="90" customFormat="false" ht="30" hidden="false" customHeight="true" outlineLevel="0" collapsed="false">
      <c r="A90" s="6" t="n">
        <v>46269</v>
      </c>
      <c r="B90" s="7" t="s">
        <v>74</v>
      </c>
      <c r="C90" s="7" t="s">
        <v>204</v>
      </c>
      <c r="D90" s="8" t="n">
        <v>0.5</v>
      </c>
      <c r="E90" s="8" t="n">
        <v>0.666666666666667</v>
      </c>
      <c r="F90" s="9" t="n">
        <f aca="false">E90-D90</f>
        <v>0.166666666666667</v>
      </c>
      <c r="G90" s="7" t="s">
        <v>215</v>
      </c>
      <c r="H90" s="7" t="s">
        <v>34</v>
      </c>
      <c r="I90" s="7"/>
      <c r="J90" s="7"/>
      <c r="K90" s="7"/>
      <c r="L90" s="7" t="s">
        <v>194</v>
      </c>
    </row>
    <row r="91" customFormat="false" ht="30" hidden="false" customHeight="true" outlineLevel="0" collapsed="false">
      <c r="A91" s="6" t="n">
        <v>46269</v>
      </c>
      <c r="B91" s="7" t="s">
        <v>74</v>
      </c>
      <c r="C91" s="7" t="s">
        <v>242</v>
      </c>
      <c r="D91" s="8" t="n">
        <v>0.6875</v>
      </c>
      <c r="E91" s="8" t="n">
        <v>0.770833333333333</v>
      </c>
      <c r="F91" s="9" t="n">
        <f aca="false">E91-D91</f>
        <v>0.0833333333333333</v>
      </c>
      <c r="G91" s="7" t="s">
        <v>243</v>
      </c>
      <c r="H91" s="7" t="s">
        <v>58</v>
      </c>
      <c r="I91" s="7" t="s">
        <v>244</v>
      </c>
      <c r="J91" s="7"/>
      <c r="K91" s="7" t="s">
        <v>245</v>
      </c>
      <c r="L91" s="7" t="s">
        <v>194</v>
      </c>
    </row>
    <row r="92" customFormat="false" ht="30" hidden="false" customHeight="true" outlineLevel="0" collapsed="false">
      <c r="A92" s="6" t="n">
        <v>46269</v>
      </c>
      <c r="B92" s="7" t="s">
        <v>74</v>
      </c>
      <c r="C92" s="7" t="s">
        <v>246</v>
      </c>
      <c r="D92" s="8" t="n">
        <v>0.78125</v>
      </c>
      <c r="E92" s="8" t="n">
        <v>0.833333333333333</v>
      </c>
      <c r="F92" s="9" t="n">
        <f aca="false">E92-D92</f>
        <v>0.0520833333333333</v>
      </c>
      <c r="G92" s="7" t="s">
        <v>247</v>
      </c>
      <c r="H92" s="7" t="s">
        <v>248</v>
      </c>
      <c r="I92" s="7" t="s">
        <v>249</v>
      </c>
      <c r="J92" s="7"/>
      <c r="K92" s="7" t="s">
        <v>250</v>
      </c>
      <c r="L92" s="7" t="s">
        <v>194</v>
      </c>
    </row>
    <row r="93" customFormat="false" ht="30" hidden="false" customHeight="true" outlineLevel="0" collapsed="false">
      <c r="A93" s="6" t="n">
        <v>46269</v>
      </c>
      <c r="B93" s="7" t="s">
        <v>74</v>
      </c>
      <c r="C93" s="7" t="s">
        <v>251</v>
      </c>
      <c r="D93" s="8" t="n">
        <v>0.84375</v>
      </c>
      <c r="E93" s="8" t="n">
        <v>0.875</v>
      </c>
      <c r="F93" s="9" t="n">
        <f aca="false">E93-D93</f>
        <v>0.03125</v>
      </c>
      <c r="G93" s="7" t="s">
        <v>252</v>
      </c>
      <c r="H93" s="7" t="s">
        <v>131</v>
      </c>
      <c r="I93" s="7" t="s">
        <v>253</v>
      </c>
      <c r="J93" s="7"/>
      <c r="K93" s="7" t="s">
        <v>254</v>
      </c>
      <c r="L93" s="7" t="s">
        <v>194</v>
      </c>
    </row>
    <row r="94" customFormat="false" ht="30" hidden="false" customHeight="true" outlineLevel="0" collapsed="false">
      <c r="A94" s="6" t="n">
        <v>46269</v>
      </c>
      <c r="B94" s="7" t="s">
        <v>74</v>
      </c>
      <c r="C94" s="7" t="s">
        <v>242</v>
      </c>
      <c r="D94" s="8" t="n">
        <v>0.885416666666667</v>
      </c>
      <c r="E94" s="8" t="n">
        <v>0.958333333333333</v>
      </c>
      <c r="F94" s="9" t="n">
        <f aca="false">E94-D94</f>
        <v>0.0729166666666667</v>
      </c>
      <c r="G94" s="7" t="s">
        <v>255</v>
      </c>
      <c r="H94" s="7" t="s">
        <v>80</v>
      </c>
      <c r="I94" s="7" t="s">
        <v>256</v>
      </c>
      <c r="J94" s="7" t="s">
        <v>170</v>
      </c>
      <c r="K94" s="7" t="s">
        <v>257</v>
      </c>
      <c r="L94" s="7" t="s">
        <v>194</v>
      </c>
    </row>
    <row r="95" customFormat="false" ht="30" hidden="false" customHeight="true" outlineLevel="0" collapsed="false">
      <c r="A95" s="6" t="n">
        <v>46270</v>
      </c>
      <c r="B95" s="7" t="s">
        <v>114</v>
      </c>
      <c r="C95" s="7" t="s">
        <v>204</v>
      </c>
      <c r="D95" s="8" t="n">
        <v>0.416666666666667</v>
      </c>
      <c r="E95" s="8" t="n">
        <v>0.447916666666667</v>
      </c>
      <c r="F95" s="9" t="n">
        <f aca="false">E95-D95</f>
        <v>0.03125</v>
      </c>
      <c r="G95" s="7" t="s">
        <v>258</v>
      </c>
      <c r="H95" s="7" t="s">
        <v>39</v>
      </c>
      <c r="I95" s="7" t="s">
        <v>259</v>
      </c>
      <c r="J95" s="7"/>
      <c r="K95" s="7" t="s">
        <v>260</v>
      </c>
      <c r="L95" s="7" t="s">
        <v>194</v>
      </c>
    </row>
    <row r="96" customFormat="false" ht="30" hidden="false" customHeight="true" outlineLevel="0" collapsed="false">
      <c r="A96" s="6" t="n">
        <v>46270</v>
      </c>
      <c r="B96" s="7" t="s">
        <v>114</v>
      </c>
      <c r="C96" s="7" t="s">
        <v>261</v>
      </c>
      <c r="D96" s="8" t="n">
        <v>0.489583333333333</v>
      </c>
      <c r="E96" s="8" t="n">
        <v>0.552083333333333</v>
      </c>
      <c r="F96" s="9" t="n">
        <f aca="false">E96-D96</f>
        <v>0.0625</v>
      </c>
      <c r="G96" s="7" t="s">
        <v>262</v>
      </c>
      <c r="H96" s="7" t="s">
        <v>80</v>
      </c>
      <c r="I96" s="7" t="s">
        <v>263</v>
      </c>
      <c r="J96" s="7" t="s">
        <v>170</v>
      </c>
      <c r="K96" s="7" t="s">
        <v>264</v>
      </c>
      <c r="L96" s="7" t="s">
        <v>194</v>
      </c>
    </row>
    <row r="97" customFormat="false" ht="30" hidden="false" customHeight="true" outlineLevel="0" collapsed="false">
      <c r="A97" s="6" t="n">
        <v>46270</v>
      </c>
      <c r="B97" s="7" t="s">
        <v>114</v>
      </c>
      <c r="C97" s="7" t="s">
        <v>261</v>
      </c>
      <c r="D97" s="8" t="n">
        <v>0.552083333333333</v>
      </c>
      <c r="E97" s="8" t="n">
        <v>0.6875</v>
      </c>
      <c r="F97" s="9" t="n">
        <f aca="false">E97-D97</f>
        <v>0.135416666666667</v>
      </c>
      <c r="G97" s="7" t="s">
        <v>265</v>
      </c>
      <c r="H97" s="7" t="s">
        <v>222</v>
      </c>
      <c r="I97" s="7"/>
      <c r="J97" s="7"/>
      <c r="K97" s="7" t="s">
        <v>266</v>
      </c>
      <c r="L97" s="7" t="s">
        <v>194</v>
      </c>
    </row>
    <row r="98" customFormat="false" ht="30" hidden="false" customHeight="true" outlineLevel="0" collapsed="false">
      <c r="A98" s="6" t="n">
        <v>46270</v>
      </c>
      <c r="B98" s="7" t="s">
        <v>114</v>
      </c>
      <c r="C98" s="7" t="s">
        <v>267</v>
      </c>
      <c r="D98" s="8" t="n">
        <v>0.708333333333333</v>
      </c>
      <c r="E98" s="8" t="n">
        <v>0.875</v>
      </c>
      <c r="F98" s="9" t="n">
        <f aca="false">E98-D98</f>
        <v>0.166666666666667</v>
      </c>
      <c r="G98" s="7" t="s">
        <v>268</v>
      </c>
      <c r="H98" s="7" t="s">
        <v>39</v>
      </c>
      <c r="I98" s="7" t="s">
        <v>269</v>
      </c>
      <c r="J98" s="7"/>
      <c r="K98" s="7" t="s">
        <v>270</v>
      </c>
      <c r="L98" s="7" t="s">
        <v>194</v>
      </c>
    </row>
    <row r="99" customFormat="false" ht="30" hidden="false" customHeight="true" outlineLevel="0" collapsed="false">
      <c r="A99" s="10" t="n">
        <v>46271</v>
      </c>
      <c r="B99" s="11" t="s">
        <v>145</v>
      </c>
      <c r="C99" s="11" t="s">
        <v>204</v>
      </c>
      <c r="D99" s="12" t="n">
        <v>0.354166666666667</v>
      </c>
      <c r="E99" s="12" t="n">
        <v>0.458333333333333</v>
      </c>
      <c r="F99" s="13" t="n">
        <f aca="false">E99-D99</f>
        <v>0.104166666666667</v>
      </c>
      <c r="G99" s="11" t="s">
        <v>271</v>
      </c>
      <c r="H99" s="11" t="s">
        <v>272</v>
      </c>
      <c r="I99" s="11"/>
      <c r="J99" s="11" t="s">
        <v>273</v>
      </c>
      <c r="K99" s="11" t="s">
        <v>274</v>
      </c>
      <c r="L99" s="11" t="s">
        <v>194</v>
      </c>
    </row>
    <row r="100" customFormat="false" ht="30" hidden="false" customHeight="true" outlineLevel="0" collapsed="false">
      <c r="A100" s="2" t="n">
        <v>46271</v>
      </c>
      <c r="B100" s="3" t="s">
        <v>145</v>
      </c>
      <c r="C100" s="3" t="s">
        <v>204</v>
      </c>
      <c r="D100" s="4" t="n">
        <v>0.479166666666667</v>
      </c>
      <c r="E100" s="4" t="n">
        <v>0.5625</v>
      </c>
      <c r="F100" s="5" t="n">
        <f aca="false">E100-D100</f>
        <v>0.0833333333333333</v>
      </c>
      <c r="G100" s="3" t="s">
        <v>275</v>
      </c>
      <c r="H100" s="3" t="s">
        <v>276</v>
      </c>
      <c r="I100" s="3"/>
      <c r="J100" s="3"/>
      <c r="K100" s="3" t="s">
        <v>277</v>
      </c>
      <c r="L100" s="3" t="s">
        <v>194</v>
      </c>
    </row>
    <row r="101" customFormat="false" ht="30" hidden="false" customHeight="true" outlineLevel="0" collapsed="false">
      <c r="A101" s="6" t="n">
        <v>46271</v>
      </c>
      <c r="B101" s="7" t="s">
        <v>145</v>
      </c>
      <c r="C101" s="7" t="s">
        <v>204</v>
      </c>
      <c r="D101" s="8" t="n">
        <v>0.583333333333333</v>
      </c>
      <c r="E101" s="8" t="n">
        <v>0.729166666666667</v>
      </c>
      <c r="F101" s="9" t="n">
        <f aca="false">E101-D101</f>
        <v>0.145833333333333</v>
      </c>
      <c r="G101" s="7" t="s">
        <v>278</v>
      </c>
      <c r="H101" s="7" t="s">
        <v>34</v>
      </c>
      <c r="I101" s="7"/>
      <c r="J101" s="7"/>
      <c r="K101" s="7"/>
      <c r="L101" s="7" t="s">
        <v>194</v>
      </c>
    </row>
    <row r="102" customFormat="false" ht="30" hidden="false" customHeight="true" outlineLevel="0" collapsed="false">
      <c r="A102" s="6" t="n">
        <v>46271</v>
      </c>
      <c r="B102" s="7" t="s">
        <v>145</v>
      </c>
      <c r="C102" s="7" t="s">
        <v>204</v>
      </c>
      <c r="D102" s="8" t="n">
        <v>0.791666666666667</v>
      </c>
      <c r="E102" s="8" t="n">
        <v>0.9375</v>
      </c>
      <c r="F102" s="9" t="n">
        <f aca="false">E102-D102</f>
        <v>0.145833333333333</v>
      </c>
      <c r="G102" s="7" t="s">
        <v>279</v>
      </c>
      <c r="H102" s="7" t="s">
        <v>280</v>
      </c>
      <c r="I102" s="7"/>
      <c r="J102" s="7"/>
      <c r="K102" s="7" t="s">
        <v>281</v>
      </c>
      <c r="L102" s="7" t="s">
        <v>194</v>
      </c>
    </row>
    <row r="103" customFormat="false" ht="30" hidden="false" customHeight="true" outlineLevel="0" collapsed="false">
      <c r="A103" s="10" t="n">
        <v>46272</v>
      </c>
      <c r="B103" s="11" t="s">
        <v>172</v>
      </c>
      <c r="C103" s="11" t="s">
        <v>204</v>
      </c>
      <c r="D103" s="12" t="n">
        <v>0.416666666666667</v>
      </c>
      <c r="E103" s="12" t="n">
        <v>0.5</v>
      </c>
      <c r="F103" s="13" t="n">
        <f aca="false">E103-D103</f>
        <v>0.0833333333333333</v>
      </c>
      <c r="G103" s="11" t="s">
        <v>282</v>
      </c>
      <c r="H103" s="11" t="s">
        <v>212</v>
      </c>
      <c r="I103" s="11"/>
      <c r="J103" s="11" t="s">
        <v>240</v>
      </c>
      <c r="K103" s="11" t="s">
        <v>241</v>
      </c>
      <c r="L103" s="11" t="s">
        <v>194</v>
      </c>
    </row>
    <row r="104" customFormat="false" ht="30" hidden="false" customHeight="true" outlineLevel="0" collapsed="false">
      <c r="A104" s="6" t="n">
        <v>46272</v>
      </c>
      <c r="B104" s="7" t="s">
        <v>172</v>
      </c>
      <c r="C104" s="7" t="s">
        <v>204</v>
      </c>
      <c r="D104" s="8" t="n">
        <v>0.5</v>
      </c>
      <c r="E104" s="8" t="n">
        <v>0.666666666666667</v>
      </c>
      <c r="F104" s="9" t="n">
        <f aca="false">E104-D104</f>
        <v>0.166666666666667</v>
      </c>
      <c r="G104" s="7" t="s">
        <v>215</v>
      </c>
      <c r="H104" s="7" t="s">
        <v>34</v>
      </c>
      <c r="I104" s="7"/>
      <c r="J104" s="7"/>
      <c r="K104" s="7"/>
      <c r="L104" s="7" t="s">
        <v>194</v>
      </c>
    </row>
    <row r="105" customFormat="false" ht="30" hidden="false" customHeight="true" outlineLevel="0" collapsed="false">
      <c r="A105" s="6" t="n">
        <v>46272</v>
      </c>
      <c r="B105" s="7" t="s">
        <v>172</v>
      </c>
      <c r="C105" s="7" t="s">
        <v>204</v>
      </c>
      <c r="D105" s="8" t="n">
        <v>0.6875</v>
      </c>
      <c r="E105" s="8" t="n">
        <v>0.770833333333333</v>
      </c>
      <c r="F105" s="9" t="n">
        <f aca="false">E105-D105</f>
        <v>0.0833333333333333</v>
      </c>
      <c r="G105" s="7" t="s">
        <v>283</v>
      </c>
      <c r="H105" s="7" t="s">
        <v>39</v>
      </c>
      <c r="I105" s="7"/>
      <c r="J105" s="7" t="s">
        <v>284</v>
      </c>
      <c r="K105" s="7" t="s">
        <v>285</v>
      </c>
      <c r="L105" s="7" t="s">
        <v>194</v>
      </c>
    </row>
    <row r="106" customFormat="false" ht="30" hidden="false" customHeight="true" outlineLevel="0" collapsed="false">
      <c r="A106" s="6" t="n">
        <v>46272</v>
      </c>
      <c r="B106" s="7" t="s">
        <v>172</v>
      </c>
      <c r="C106" s="7" t="s">
        <v>204</v>
      </c>
      <c r="D106" s="8" t="n">
        <v>0.84375</v>
      </c>
      <c r="E106" s="8" t="n">
        <v>0.875</v>
      </c>
      <c r="F106" s="9" t="n">
        <f aca="false">E106-D106</f>
        <v>0.03125</v>
      </c>
      <c r="G106" s="7" t="s">
        <v>286</v>
      </c>
      <c r="H106" s="7" t="s">
        <v>131</v>
      </c>
      <c r="I106" s="7" t="s">
        <v>287</v>
      </c>
      <c r="J106" s="7"/>
      <c r="K106" s="7" t="s">
        <v>288</v>
      </c>
      <c r="L106" s="7" t="s">
        <v>194</v>
      </c>
    </row>
    <row r="107" customFormat="false" ht="30" hidden="false" customHeight="true" outlineLevel="0" collapsed="false">
      <c r="A107" s="6" t="n">
        <v>46272</v>
      </c>
      <c r="B107" s="7" t="s">
        <v>172</v>
      </c>
      <c r="C107" s="7" t="s">
        <v>204</v>
      </c>
      <c r="D107" s="8" t="n">
        <v>0.885416666666667</v>
      </c>
      <c r="E107" s="8" t="n">
        <v>0.947916666666667</v>
      </c>
      <c r="F107" s="9" t="n">
        <f aca="false">E107-D107</f>
        <v>0.0625</v>
      </c>
      <c r="G107" s="7" t="s">
        <v>289</v>
      </c>
      <c r="H107" s="7" t="s">
        <v>80</v>
      </c>
      <c r="I107" s="7"/>
      <c r="J107" s="7" t="s">
        <v>170</v>
      </c>
      <c r="K107" s="7" t="s">
        <v>290</v>
      </c>
      <c r="L107" s="7" t="s">
        <v>194</v>
      </c>
    </row>
    <row r="108" customFormat="false" ht="30" hidden="false" customHeight="true" outlineLevel="0" collapsed="false">
      <c r="A108" s="6" t="n">
        <v>46273</v>
      </c>
      <c r="B108" s="7" t="s">
        <v>191</v>
      </c>
      <c r="C108" s="7" t="s">
        <v>204</v>
      </c>
      <c r="D108" s="8" t="n">
        <v>0.333333333333333</v>
      </c>
      <c r="E108" s="8" t="n">
        <v>0.447916666666667</v>
      </c>
      <c r="F108" s="9" t="n">
        <f aca="false">E108-D108</f>
        <v>0.114583333333333</v>
      </c>
      <c r="G108" s="7" t="s">
        <v>291</v>
      </c>
      <c r="H108" s="7" t="s">
        <v>95</v>
      </c>
      <c r="I108" s="7" t="s">
        <v>292</v>
      </c>
      <c r="J108" s="7"/>
      <c r="K108" s="7"/>
      <c r="L108" s="7" t="s">
        <v>293</v>
      </c>
    </row>
    <row r="109" customFormat="false" ht="30" hidden="false" customHeight="true" outlineLevel="0" collapsed="false">
      <c r="A109" s="6" t="n">
        <v>46273</v>
      </c>
      <c r="B109" s="7" t="s">
        <v>191</v>
      </c>
      <c r="C109" s="7" t="s">
        <v>294</v>
      </c>
      <c r="D109" s="8" t="n">
        <v>0.46875</v>
      </c>
      <c r="E109" s="8" t="n">
        <v>0.541666666666667</v>
      </c>
      <c r="F109" s="9" t="n">
        <f aca="false">E109-D109</f>
        <v>0.0729166666666667</v>
      </c>
      <c r="G109" s="7" t="s">
        <v>295</v>
      </c>
      <c r="H109" s="7" t="s">
        <v>222</v>
      </c>
      <c r="I109" s="7"/>
      <c r="J109" s="7"/>
      <c r="K109" s="7" t="s">
        <v>296</v>
      </c>
      <c r="L109" s="7" t="s">
        <v>293</v>
      </c>
    </row>
    <row r="110" customFormat="false" ht="30" hidden="false" customHeight="true" outlineLevel="0" collapsed="false">
      <c r="A110" s="6" t="n">
        <v>46273</v>
      </c>
      <c r="B110" s="7" t="s">
        <v>191</v>
      </c>
      <c r="C110" s="7" t="s">
        <v>294</v>
      </c>
      <c r="D110" s="8" t="n">
        <v>0.541666666666667</v>
      </c>
      <c r="E110" s="8" t="n">
        <v>0.583333333333333</v>
      </c>
      <c r="F110" s="9" t="n">
        <f aca="false">E110-D110</f>
        <v>0.0416666666666667</v>
      </c>
      <c r="G110" s="7" t="s">
        <v>297</v>
      </c>
      <c r="H110" s="7" t="s">
        <v>80</v>
      </c>
      <c r="I110" s="7"/>
      <c r="J110" s="7"/>
      <c r="K110" s="7" t="s">
        <v>122</v>
      </c>
      <c r="L110" s="7" t="s">
        <v>293</v>
      </c>
    </row>
    <row r="111" customFormat="false" ht="30" hidden="false" customHeight="true" outlineLevel="0" collapsed="false">
      <c r="A111" s="6" t="n">
        <v>46273</v>
      </c>
      <c r="B111" s="7" t="s">
        <v>191</v>
      </c>
      <c r="C111" s="7" t="s">
        <v>298</v>
      </c>
      <c r="D111" s="7"/>
      <c r="E111" s="7"/>
      <c r="F111" s="7"/>
      <c r="G111" s="7" t="s">
        <v>299</v>
      </c>
      <c r="H111" s="7" t="s">
        <v>39</v>
      </c>
      <c r="I111" s="7" t="s">
        <v>300</v>
      </c>
      <c r="J111" s="7"/>
      <c r="K111" s="7" t="s">
        <v>301</v>
      </c>
      <c r="L111" s="7" t="s">
        <v>293</v>
      </c>
    </row>
    <row r="112" customFormat="false" ht="30" hidden="false" customHeight="true" outlineLevel="0" collapsed="false">
      <c r="A112" s="6" t="n">
        <v>46273</v>
      </c>
      <c r="B112" s="7" t="s">
        <v>191</v>
      </c>
      <c r="C112" s="7" t="s">
        <v>302</v>
      </c>
      <c r="D112" s="8" t="n">
        <v>0.583333333333333</v>
      </c>
      <c r="E112" s="8" t="n">
        <v>0.666666666666667</v>
      </c>
      <c r="F112" s="9" t="n">
        <f aca="false">E112-D112</f>
        <v>0.0833333333333333</v>
      </c>
      <c r="G112" s="7" t="s">
        <v>303</v>
      </c>
      <c r="H112" s="7" t="s">
        <v>95</v>
      </c>
      <c r="I112" s="7" t="s">
        <v>304</v>
      </c>
      <c r="J112" s="7"/>
      <c r="K112" s="7"/>
      <c r="L112" s="7" t="s">
        <v>293</v>
      </c>
    </row>
    <row r="113" customFormat="false" ht="30" hidden="false" customHeight="true" outlineLevel="0" collapsed="false">
      <c r="A113" s="6" t="n">
        <v>46273</v>
      </c>
      <c r="B113" s="7" t="s">
        <v>191</v>
      </c>
      <c r="C113" s="7" t="s">
        <v>302</v>
      </c>
      <c r="D113" s="8" t="n">
        <v>0.666666666666667</v>
      </c>
      <c r="E113" s="8" t="n">
        <v>0.6875</v>
      </c>
      <c r="F113" s="9" t="n">
        <f aca="false">E113-D113</f>
        <v>0.0208333333333333</v>
      </c>
      <c r="G113" s="7" t="s">
        <v>305</v>
      </c>
      <c r="H113" s="7" t="s">
        <v>30</v>
      </c>
      <c r="I113" s="7"/>
      <c r="J113" s="7"/>
      <c r="K113" s="7"/>
      <c r="L113" s="7" t="s">
        <v>293</v>
      </c>
    </row>
    <row r="114" customFormat="false" ht="30" hidden="false" customHeight="true" outlineLevel="0" collapsed="false">
      <c r="A114" s="6" t="n">
        <v>46273</v>
      </c>
      <c r="B114" s="7" t="s">
        <v>191</v>
      </c>
      <c r="C114" s="7" t="s">
        <v>302</v>
      </c>
      <c r="D114" s="8" t="n">
        <v>0.6875</v>
      </c>
      <c r="E114" s="8" t="n">
        <v>0.75</v>
      </c>
      <c r="F114" s="9" t="n">
        <f aca="false">E114-D114</f>
        <v>0.0625</v>
      </c>
      <c r="G114" s="7" t="s">
        <v>160</v>
      </c>
      <c r="H114" s="7" t="s">
        <v>34</v>
      </c>
      <c r="I114" s="7"/>
      <c r="J114" s="7"/>
      <c r="K114" s="7"/>
      <c r="L114" s="7" t="s">
        <v>293</v>
      </c>
    </row>
    <row r="115" customFormat="false" ht="30" hidden="false" customHeight="true" outlineLevel="0" collapsed="false">
      <c r="A115" s="6" t="n">
        <v>46273</v>
      </c>
      <c r="B115" s="7" t="s">
        <v>191</v>
      </c>
      <c r="C115" s="7" t="s">
        <v>302</v>
      </c>
      <c r="D115" s="8" t="n">
        <v>0.770833333333333</v>
      </c>
      <c r="E115" s="8" t="n">
        <v>0.788194444444444</v>
      </c>
      <c r="F115" s="9" t="n">
        <f aca="false">E115-D115</f>
        <v>0.0173611111111111</v>
      </c>
      <c r="G115" s="7" t="s">
        <v>306</v>
      </c>
      <c r="H115" s="7" t="s">
        <v>58</v>
      </c>
      <c r="I115" s="7"/>
      <c r="J115" s="7"/>
      <c r="K115" s="7" t="s">
        <v>307</v>
      </c>
      <c r="L115" s="7" t="s">
        <v>293</v>
      </c>
    </row>
    <row r="116" customFormat="false" ht="30" hidden="false" customHeight="true" outlineLevel="0" collapsed="false">
      <c r="A116" s="6" t="n">
        <v>46273</v>
      </c>
      <c r="B116" s="7" t="s">
        <v>191</v>
      </c>
      <c r="C116" s="7" t="s">
        <v>302</v>
      </c>
      <c r="D116" s="8" t="n">
        <v>0.791666666666667</v>
      </c>
      <c r="E116" s="8" t="n">
        <v>0.805555555555556</v>
      </c>
      <c r="F116" s="9" t="n">
        <f aca="false">E116-D116</f>
        <v>0.0138888888888889</v>
      </c>
      <c r="G116" s="7" t="s">
        <v>308</v>
      </c>
      <c r="H116" s="7" t="s">
        <v>58</v>
      </c>
      <c r="I116" s="7"/>
      <c r="J116" s="7"/>
      <c r="K116" s="7" t="s">
        <v>309</v>
      </c>
      <c r="L116" s="7" t="s">
        <v>293</v>
      </c>
    </row>
    <row r="117" customFormat="false" ht="30" hidden="false" customHeight="true" outlineLevel="0" collapsed="false">
      <c r="A117" s="6" t="n">
        <v>46273</v>
      </c>
      <c r="B117" s="7" t="s">
        <v>191</v>
      </c>
      <c r="C117" s="7" t="s">
        <v>302</v>
      </c>
      <c r="D117" s="8" t="n">
        <v>0.805555555555556</v>
      </c>
      <c r="E117" s="8" t="n">
        <v>0.822916666666667</v>
      </c>
      <c r="F117" s="9" t="n">
        <f aca="false">E117-D117</f>
        <v>0.0173611111111111</v>
      </c>
      <c r="G117" s="7" t="s">
        <v>310</v>
      </c>
      <c r="H117" s="7" t="s">
        <v>58</v>
      </c>
      <c r="I117" s="7"/>
      <c r="J117" s="7"/>
      <c r="K117" s="7" t="s">
        <v>311</v>
      </c>
      <c r="L117" s="7" t="s">
        <v>293</v>
      </c>
    </row>
    <row r="118" customFormat="false" ht="30" hidden="false" customHeight="true" outlineLevel="0" collapsed="false">
      <c r="A118" s="6" t="n">
        <v>46273</v>
      </c>
      <c r="B118" s="7" t="s">
        <v>191</v>
      </c>
      <c r="C118" s="7" t="s">
        <v>302</v>
      </c>
      <c r="D118" s="8" t="n">
        <v>0.822916666666667</v>
      </c>
      <c r="E118" s="8" t="n">
        <v>0.864583333333333</v>
      </c>
      <c r="F118" s="9" t="n">
        <f aca="false">E118-D118</f>
        <v>0.0416666666666667</v>
      </c>
      <c r="G118" s="7" t="s">
        <v>312</v>
      </c>
      <c r="H118" s="7" t="s">
        <v>131</v>
      </c>
      <c r="I118" s="7"/>
      <c r="J118" s="7"/>
      <c r="K118" s="7" t="s">
        <v>313</v>
      </c>
      <c r="L118" s="7" t="s">
        <v>293</v>
      </c>
    </row>
    <row r="119" customFormat="false" ht="30" hidden="false" customHeight="true" outlineLevel="0" collapsed="false">
      <c r="A119" s="6" t="n">
        <v>46273</v>
      </c>
      <c r="B119" s="7" t="s">
        <v>191</v>
      </c>
      <c r="C119" s="7" t="s">
        <v>302</v>
      </c>
      <c r="D119" s="8" t="n">
        <v>0.875</v>
      </c>
      <c r="E119" s="8" t="n">
        <v>0.958333333333333</v>
      </c>
      <c r="F119" s="9" t="n">
        <f aca="false">E119-D119</f>
        <v>0.0833333333333333</v>
      </c>
      <c r="G119" s="7" t="s">
        <v>314</v>
      </c>
      <c r="H119" s="7" t="s">
        <v>42</v>
      </c>
      <c r="I119" s="7"/>
      <c r="J119" s="7" t="s">
        <v>315</v>
      </c>
      <c r="K119" s="7" t="s">
        <v>316</v>
      </c>
      <c r="L119" s="7" t="s">
        <v>293</v>
      </c>
    </row>
    <row r="120" customFormat="false" ht="30" hidden="false" customHeight="true" outlineLevel="0" collapsed="false">
      <c r="A120" s="2" t="n">
        <v>46274</v>
      </c>
      <c r="B120" s="3" t="s">
        <v>12</v>
      </c>
      <c r="C120" s="3" t="s">
        <v>302</v>
      </c>
      <c r="D120" s="4" t="n">
        <v>0.375</v>
      </c>
      <c r="E120" s="4" t="n">
        <v>0.583333333333333</v>
      </c>
      <c r="F120" s="5" t="n">
        <f aca="false">E120-D120</f>
        <v>0.208333333333333</v>
      </c>
      <c r="G120" s="3" t="s">
        <v>317</v>
      </c>
      <c r="H120" s="3" t="s">
        <v>147</v>
      </c>
      <c r="I120" s="3"/>
      <c r="J120" s="3" t="s">
        <v>318</v>
      </c>
      <c r="K120" s="3" t="s">
        <v>319</v>
      </c>
      <c r="L120" s="3" t="s">
        <v>293</v>
      </c>
    </row>
    <row r="121" customFormat="false" ht="30" hidden="false" customHeight="true" outlineLevel="0" collapsed="false">
      <c r="A121" s="2" t="n">
        <v>46274</v>
      </c>
      <c r="B121" s="3" t="s">
        <v>12</v>
      </c>
      <c r="C121" s="3" t="s">
        <v>302</v>
      </c>
      <c r="D121" s="4" t="n">
        <v>0.416666666666667</v>
      </c>
      <c r="E121" s="4" t="n">
        <v>0.458333333333333</v>
      </c>
      <c r="F121" s="5" t="n">
        <f aca="false">E121-D121</f>
        <v>0.0416666666666667</v>
      </c>
      <c r="G121" s="3" t="s">
        <v>320</v>
      </c>
      <c r="H121" s="3" t="s">
        <v>147</v>
      </c>
      <c r="I121" s="3"/>
      <c r="J121" s="3" t="s">
        <v>318</v>
      </c>
      <c r="K121" s="3" t="s">
        <v>321</v>
      </c>
      <c r="L121" s="3" t="s">
        <v>293</v>
      </c>
    </row>
    <row r="122" customFormat="false" ht="30" hidden="false" customHeight="true" outlineLevel="0" collapsed="false">
      <c r="A122" s="6" t="n">
        <v>46274</v>
      </c>
      <c r="B122" s="7" t="s">
        <v>12</v>
      </c>
      <c r="C122" s="7" t="s">
        <v>302</v>
      </c>
      <c r="D122" s="8" t="n">
        <v>0.604166666666667</v>
      </c>
      <c r="E122" s="8" t="n">
        <v>0.729166666666667</v>
      </c>
      <c r="F122" s="9" t="n">
        <f aca="false">E122-D122</f>
        <v>0.125</v>
      </c>
      <c r="G122" s="7" t="s">
        <v>322</v>
      </c>
      <c r="H122" s="7" t="s">
        <v>34</v>
      </c>
      <c r="I122" s="7"/>
      <c r="J122" s="7"/>
      <c r="K122" s="7" t="s">
        <v>161</v>
      </c>
      <c r="L122" s="7" t="s">
        <v>293</v>
      </c>
    </row>
    <row r="123" customFormat="false" ht="30" hidden="false" customHeight="true" outlineLevel="0" collapsed="false">
      <c r="A123" s="6" t="n">
        <v>46274</v>
      </c>
      <c r="B123" s="7" t="s">
        <v>12</v>
      </c>
      <c r="C123" s="7" t="s">
        <v>302</v>
      </c>
      <c r="D123" s="8" t="n">
        <v>0.708333333333333</v>
      </c>
      <c r="E123" s="8" t="n">
        <v>0.760416666666667</v>
      </c>
      <c r="F123" s="9" t="n">
        <f aca="false">E123-D123</f>
        <v>0.0520833333333333</v>
      </c>
      <c r="G123" s="7" t="s">
        <v>323</v>
      </c>
      <c r="H123" s="7" t="s">
        <v>34</v>
      </c>
      <c r="I123" s="7"/>
      <c r="J123" s="7" t="s">
        <v>324</v>
      </c>
      <c r="K123" s="7" t="s">
        <v>325</v>
      </c>
      <c r="L123" s="7" t="s">
        <v>293</v>
      </c>
    </row>
    <row r="124" customFormat="false" ht="30" hidden="false" customHeight="true" outlineLevel="0" collapsed="false">
      <c r="A124" s="6" t="n">
        <v>46274</v>
      </c>
      <c r="B124" s="7" t="s">
        <v>12</v>
      </c>
      <c r="C124" s="7" t="s">
        <v>302</v>
      </c>
      <c r="D124" s="8" t="n">
        <v>0.760416666666667</v>
      </c>
      <c r="E124" s="8" t="n">
        <v>0.784722222222222</v>
      </c>
      <c r="F124" s="9" t="n">
        <f aca="false">E124-D124</f>
        <v>0.0243055555555556</v>
      </c>
      <c r="G124" s="7" t="s">
        <v>326</v>
      </c>
      <c r="H124" s="7" t="s">
        <v>58</v>
      </c>
      <c r="I124" s="7"/>
      <c r="J124" s="7"/>
      <c r="K124" s="7" t="s">
        <v>327</v>
      </c>
      <c r="L124" s="7" t="s">
        <v>293</v>
      </c>
    </row>
    <row r="125" customFormat="false" ht="30" hidden="false" customHeight="true" outlineLevel="0" collapsed="false">
      <c r="A125" s="6" t="n">
        <v>46274</v>
      </c>
      <c r="B125" s="7" t="s">
        <v>12</v>
      </c>
      <c r="C125" s="7" t="s">
        <v>302</v>
      </c>
      <c r="D125" s="8" t="n">
        <v>0.8125</v>
      </c>
      <c r="E125" s="8" t="n">
        <v>0.864583333333333</v>
      </c>
      <c r="F125" s="9" t="n">
        <f aca="false">E125-D125</f>
        <v>0.0520833333333333</v>
      </c>
      <c r="G125" s="7" t="s">
        <v>328</v>
      </c>
      <c r="H125" s="7" t="s">
        <v>131</v>
      </c>
      <c r="I125" s="7" t="s">
        <v>329</v>
      </c>
      <c r="J125" s="7" t="s">
        <v>170</v>
      </c>
      <c r="K125" s="7" t="s">
        <v>330</v>
      </c>
      <c r="L125" s="7" t="s">
        <v>293</v>
      </c>
    </row>
    <row r="126" customFormat="false" ht="30" hidden="false" customHeight="true" outlineLevel="0" collapsed="false">
      <c r="A126" s="6" t="n">
        <v>46274</v>
      </c>
      <c r="B126" s="7" t="s">
        <v>12</v>
      </c>
      <c r="C126" s="7" t="s">
        <v>302</v>
      </c>
      <c r="D126" s="8" t="n">
        <v>0.875</v>
      </c>
      <c r="E126" s="8" t="n">
        <v>0.9375</v>
      </c>
      <c r="F126" s="9" t="n">
        <f aca="false">E126-D126</f>
        <v>0.0625</v>
      </c>
      <c r="G126" s="7" t="s">
        <v>331</v>
      </c>
      <c r="H126" s="7" t="s">
        <v>80</v>
      </c>
      <c r="I126" s="7"/>
      <c r="J126" s="7"/>
      <c r="K126" s="7" t="s">
        <v>332</v>
      </c>
      <c r="L126" s="7" t="s">
        <v>293</v>
      </c>
    </row>
    <row r="127" customFormat="false" ht="30" hidden="false" customHeight="true" outlineLevel="0" collapsed="false">
      <c r="A127" s="6" t="n">
        <v>46274</v>
      </c>
      <c r="B127" s="7" t="s">
        <v>12</v>
      </c>
      <c r="C127" s="7" t="s">
        <v>302</v>
      </c>
      <c r="D127" s="7"/>
      <c r="E127" s="7"/>
      <c r="F127" s="7"/>
      <c r="G127" s="7" t="s">
        <v>333</v>
      </c>
      <c r="H127" s="7" t="s">
        <v>39</v>
      </c>
      <c r="I127" s="7"/>
      <c r="J127" s="7"/>
      <c r="K127" s="7" t="s">
        <v>334</v>
      </c>
      <c r="L127" s="7" t="s">
        <v>293</v>
      </c>
    </row>
    <row r="128" customFormat="false" ht="30" hidden="false" customHeight="true" outlineLevel="0" collapsed="false">
      <c r="A128" s="6" t="n">
        <v>46275</v>
      </c>
      <c r="B128" s="7" t="s">
        <v>50</v>
      </c>
      <c r="C128" s="7" t="s">
        <v>302</v>
      </c>
      <c r="D128" s="8" t="n">
        <v>0.28125</v>
      </c>
      <c r="E128" s="8" t="n">
        <v>0.489583333333333</v>
      </c>
      <c r="F128" s="9" t="n">
        <f aca="false">E128-D128</f>
        <v>0.208333333333333</v>
      </c>
      <c r="G128" s="7" t="s">
        <v>335</v>
      </c>
      <c r="H128" s="7" t="s">
        <v>95</v>
      </c>
      <c r="I128" s="7" t="s">
        <v>336</v>
      </c>
      <c r="J128" s="7"/>
      <c r="K128" s="7" t="s">
        <v>337</v>
      </c>
      <c r="L128" s="7" t="s">
        <v>293</v>
      </c>
    </row>
    <row r="129" customFormat="false" ht="30" hidden="false" customHeight="true" outlineLevel="0" collapsed="false">
      <c r="A129" s="6" t="n">
        <v>46275</v>
      </c>
      <c r="B129" s="7" t="s">
        <v>50</v>
      </c>
      <c r="C129" s="7" t="s">
        <v>24</v>
      </c>
      <c r="D129" s="8" t="n">
        <v>0.5</v>
      </c>
      <c r="E129" s="8" t="n">
        <v>0.520833333333333</v>
      </c>
      <c r="F129" s="9" t="n">
        <f aca="false">E129-D129</f>
        <v>0.0208333333333333</v>
      </c>
      <c r="G129" s="7" t="s">
        <v>338</v>
      </c>
      <c r="H129" s="7" t="s">
        <v>95</v>
      </c>
      <c r="I129" s="7"/>
      <c r="J129" s="7" t="s">
        <v>339</v>
      </c>
      <c r="K129" s="7" t="s">
        <v>340</v>
      </c>
      <c r="L129" s="7" t="s">
        <v>293</v>
      </c>
    </row>
    <row r="130" customFormat="false" ht="30" hidden="false" customHeight="true" outlineLevel="0" collapsed="false">
      <c r="A130" s="2" t="n">
        <v>46275</v>
      </c>
      <c r="B130" s="3" t="s">
        <v>50</v>
      </c>
      <c r="C130" s="3" t="s">
        <v>24</v>
      </c>
      <c r="D130" s="4" t="n">
        <v>0.621527777777778</v>
      </c>
      <c r="E130" s="4" t="n">
        <v>0.729166666666667</v>
      </c>
      <c r="F130" s="5" t="n">
        <f aca="false">E130-D130</f>
        <v>0.107638888888889</v>
      </c>
      <c r="G130" s="3" t="s">
        <v>341</v>
      </c>
      <c r="H130" s="3" t="s">
        <v>342</v>
      </c>
      <c r="I130" s="3"/>
      <c r="J130" s="3" t="s">
        <v>343</v>
      </c>
      <c r="K130" s="3"/>
      <c r="L130" s="3" t="s">
        <v>344</v>
      </c>
    </row>
    <row r="131" customFormat="false" ht="30" hidden="false" customHeight="true" outlineLevel="0" collapsed="false">
      <c r="A131" s="6" t="n">
        <v>46275</v>
      </c>
      <c r="B131" s="7" t="s">
        <v>50</v>
      </c>
      <c r="C131" s="7" t="s">
        <v>20</v>
      </c>
      <c r="D131" s="8" t="n">
        <v>0.770833333333333</v>
      </c>
      <c r="E131" s="8" t="n">
        <v>0.802083333333333</v>
      </c>
      <c r="F131" s="9" t="n">
        <f aca="false">E131-D131</f>
        <v>0.03125</v>
      </c>
      <c r="G131" s="7" t="s">
        <v>345</v>
      </c>
      <c r="H131" s="7" t="s">
        <v>342</v>
      </c>
      <c r="I131" s="7"/>
      <c r="J131" s="7"/>
      <c r="K131" s="7"/>
      <c r="L131" s="7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70"/>
    <col collapsed="false" customWidth="true" hidden="false" outlineLevel="0" max="4" min="4" style="0" width="16"/>
  </cols>
  <sheetData>
    <row r="1" customFormat="false" ht="14.25" hidden="false" customHeight="true" outlineLevel="0" collapsed="false">
      <c r="A1" s="14"/>
      <c r="B1" s="14" t="s">
        <v>346</v>
      </c>
      <c r="C1" s="14" t="s">
        <v>347</v>
      </c>
      <c r="D1" s="14" t="s">
        <v>348</v>
      </c>
    </row>
    <row r="2" customFormat="false" ht="14.25" hidden="false" customHeight="true" outlineLevel="0" collapsed="false">
      <c r="A2" s="15"/>
      <c r="B2" s="15" t="s">
        <v>349</v>
      </c>
      <c r="C2" s="15" t="s">
        <v>350</v>
      </c>
      <c r="D2" s="15" t="s">
        <v>351</v>
      </c>
    </row>
    <row r="3" customFormat="false" ht="24.75" hidden="false" customHeight="true" outlineLevel="0" collapsed="false">
      <c r="A3" s="15"/>
      <c r="B3" s="16" t="s">
        <v>352</v>
      </c>
      <c r="C3" s="15" t="s">
        <v>353</v>
      </c>
      <c r="D3" s="15" t="s">
        <v>354</v>
      </c>
    </row>
    <row r="4" customFormat="false" ht="37.5" hidden="false" customHeight="true" outlineLevel="0" collapsed="false">
      <c r="A4" s="15"/>
      <c r="B4" s="15" t="s">
        <v>355</v>
      </c>
      <c r="C4" s="15" t="s">
        <v>356</v>
      </c>
      <c r="D4" s="15" t="s">
        <v>357</v>
      </c>
    </row>
    <row r="5" customFormat="false" ht="14.25" hidden="false" customHeight="true" outlineLevel="0" collapsed="false">
      <c r="A5" s="15"/>
      <c r="B5" s="15" t="s">
        <v>358</v>
      </c>
      <c r="C5" s="15" t="s">
        <v>359</v>
      </c>
      <c r="D5" s="15" t="s">
        <v>351</v>
      </c>
    </row>
    <row r="6" customFormat="false" ht="14.25" hidden="false" customHeight="true" outlineLevel="0" collapsed="false">
      <c r="A6" s="15"/>
      <c r="B6" s="15" t="s">
        <v>360</v>
      </c>
      <c r="C6" s="15" t="s">
        <v>361</v>
      </c>
      <c r="D6" s="15" t="s">
        <v>362</v>
      </c>
    </row>
    <row r="7" customFormat="false" ht="14.25" hidden="false" customHeight="true" outlineLevel="0" collapsed="false">
      <c r="A7" s="15"/>
      <c r="B7" s="15" t="s">
        <v>363</v>
      </c>
      <c r="C7" s="15" t="s">
        <v>364</v>
      </c>
      <c r="D7" s="15" t="s">
        <v>365</v>
      </c>
    </row>
    <row r="8" customFormat="false" ht="14.25" hidden="false" customHeight="true" outlineLevel="0" collapsed="false">
      <c r="A8" s="15"/>
      <c r="B8" s="15" t="s">
        <v>366</v>
      </c>
      <c r="C8" s="15" t="s">
        <v>367</v>
      </c>
      <c r="D8" s="15" t="s">
        <v>368</v>
      </c>
    </row>
    <row r="9" customFormat="false" ht="14.25" hidden="false" customHeight="true" outlineLevel="0" collapsed="false">
      <c r="A9" s="15"/>
      <c r="B9" s="15" t="s">
        <v>68</v>
      </c>
      <c r="C9" s="15" t="s">
        <v>369</v>
      </c>
      <c r="D9" s="15" t="s">
        <v>370</v>
      </c>
    </row>
    <row r="10" customFormat="false" ht="14.25" hidden="false" customHeight="true" outlineLevel="0" collapsed="false">
      <c r="A10" s="15"/>
      <c r="B10" s="15" t="s">
        <v>371</v>
      </c>
      <c r="C10" s="15" t="s">
        <v>372</v>
      </c>
      <c r="D10" s="15" t="s">
        <v>370</v>
      </c>
    </row>
    <row r="11" customFormat="false" ht="14.25" hidden="false" customHeight="true" outlineLevel="0" collapsed="false">
      <c r="A11" s="15"/>
      <c r="B11" s="15" t="s">
        <v>373</v>
      </c>
      <c r="C11" s="15" t="s">
        <v>374</v>
      </c>
      <c r="D11" s="15" t="s">
        <v>370</v>
      </c>
    </row>
    <row r="12" customFormat="false" ht="24.75" hidden="false" customHeight="true" outlineLevel="0" collapsed="false">
      <c r="A12" s="15"/>
      <c r="B12" s="15" t="s">
        <v>375</v>
      </c>
      <c r="C12" s="15" t="s">
        <v>376</v>
      </c>
      <c r="D12" s="15" t="s">
        <v>368</v>
      </c>
    </row>
    <row r="13" customFormat="false" ht="14.25" hidden="false" customHeight="true" outlineLevel="0" collapsed="false">
      <c r="A13" s="15"/>
      <c r="B13" s="15" t="s">
        <v>377</v>
      </c>
      <c r="C13" s="15" t="s">
        <v>378</v>
      </c>
      <c r="D13" s="15" t="s">
        <v>368</v>
      </c>
    </row>
    <row r="14" customFormat="false" ht="24.75" hidden="false" customHeight="true" outlineLevel="0" collapsed="false">
      <c r="A14" s="15"/>
      <c r="B14" s="15" t="s">
        <v>379</v>
      </c>
      <c r="C14" s="15" t="s">
        <v>380</v>
      </c>
      <c r="D14" s="15" t="s">
        <v>368</v>
      </c>
    </row>
    <row r="15" customFormat="false" ht="24.75" hidden="false" customHeight="true" outlineLevel="0" collapsed="false">
      <c r="A15" s="15"/>
      <c r="B15" s="15" t="s">
        <v>267</v>
      </c>
      <c r="C15" s="15" t="s">
        <v>381</v>
      </c>
      <c r="D15" s="15" t="s">
        <v>382</v>
      </c>
    </row>
    <row r="16" customFormat="false" ht="14.25" hidden="false" customHeight="true" outlineLevel="0" collapsed="false">
      <c r="A16" s="15"/>
      <c r="B16" s="15" t="s">
        <v>383</v>
      </c>
      <c r="C16" s="15" t="s">
        <v>384</v>
      </c>
      <c r="D16" s="15" t="s">
        <v>368</v>
      </c>
    </row>
    <row r="17" customFormat="false" ht="24.75" hidden="false" customHeight="true" outlineLevel="0" collapsed="false">
      <c r="A17" s="15"/>
      <c r="B17" s="15" t="s">
        <v>385</v>
      </c>
      <c r="C17" s="15" t="s">
        <v>386</v>
      </c>
      <c r="D17" s="15" t="s">
        <v>387</v>
      </c>
    </row>
    <row r="18" customFormat="false" ht="37.5" hidden="false" customHeight="true" outlineLevel="0" collapsed="false">
      <c r="A18" s="15"/>
      <c r="B18" s="15" t="s">
        <v>388</v>
      </c>
      <c r="C18" s="15" t="s">
        <v>389</v>
      </c>
      <c r="D18" s="15" t="s">
        <v>368</v>
      </c>
    </row>
    <row r="19" customFormat="false" ht="24.75" hidden="false" customHeight="true" outlineLevel="0" collapsed="false">
      <c r="A19" s="15"/>
      <c r="B19" s="15" t="s">
        <v>390</v>
      </c>
      <c r="C19" s="15" t="s">
        <v>391</v>
      </c>
      <c r="D19" s="15" t="s">
        <v>368</v>
      </c>
    </row>
    <row r="20" customFormat="false" ht="24.75" hidden="false" customHeight="true" outlineLevel="0" collapsed="false">
      <c r="A20" s="15"/>
      <c r="B20" s="15" t="s">
        <v>392</v>
      </c>
      <c r="C20" s="15" t="s">
        <v>393</v>
      </c>
      <c r="D20" s="15" t="s">
        <v>394</v>
      </c>
    </row>
    <row r="21" customFormat="false" ht="14.25" hidden="false" customHeight="true" outlineLevel="0" collapsed="false">
      <c r="A21" s="15"/>
      <c r="B21" s="15" t="s">
        <v>395</v>
      </c>
      <c r="C21" s="15" t="s">
        <v>396</v>
      </c>
      <c r="D21" s="15" t="s">
        <v>397</v>
      </c>
    </row>
    <row r="22" customFormat="false" ht="25.5" hidden="false" customHeight="true" outlineLevel="0" collapsed="false">
      <c r="A22" s="15"/>
      <c r="B22" s="15" t="s">
        <v>398</v>
      </c>
      <c r="C22" s="15" t="s">
        <v>399</v>
      </c>
      <c r="D22" s="15" t="s">
        <v>400</v>
      </c>
    </row>
    <row r="23" customFormat="false" ht="15" hidden="false" customHeight="true" outlineLevel="0" collapsed="false">
      <c r="A23" s="15"/>
      <c r="B23" s="17" t="s">
        <v>401</v>
      </c>
      <c r="C23" s="17"/>
      <c r="D23" s="17"/>
    </row>
    <row r="24" customFormat="false" ht="15" hidden="false" customHeight="true" outlineLevel="0" collapsed="false">
      <c r="A24" s="15"/>
      <c r="B24" s="17" t="s">
        <v>402</v>
      </c>
      <c r="C24" s="17"/>
      <c r="D24" s="17"/>
    </row>
    <row r="25" customFormat="false" ht="15" hidden="false" customHeight="true" outlineLevel="0" collapsed="false">
      <c r="B25" s="18"/>
      <c r="C25" s="18"/>
      <c r="D25" s="18"/>
    </row>
    <row r="26" customFormat="false" ht="15" hidden="false" customHeight="true" outlineLevel="0" collapsed="false">
      <c r="A26" s="16"/>
      <c r="B26" s="19" t="s">
        <v>403</v>
      </c>
      <c r="C26" s="19"/>
      <c r="D26" s="19"/>
    </row>
    <row r="27" customFormat="false" ht="15" hidden="false" customHeight="true" outlineLevel="0" collapsed="false">
      <c r="A27" s="15"/>
      <c r="B27" s="17" t="s">
        <v>404</v>
      </c>
      <c r="C27" s="17"/>
      <c r="D27" s="17"/>
    </row>
    <row r="28" customFormat="false" ht="23.25" hidden="false" customHeight="true" outlineLevel="0" collapsed="false">
      <c r="A28" s="15"/>
      <c r="B28" s="17" t="s">
        <v>405</v>
      </c>
      <c r="C28" s="17"/>
      <c r="D28" s="17"/>
    </row>
    <row r="29" customFormat="false" ht="15" hidden="false" customHeight="true" outlineLevel="0" collapsed="false">
      <c r="A29" s="15"/>
      <c r="B29" s="17" t="s">
        <v>406</v>
      </c>
      <c r="C29" s="17"/>
      <c r="D29" s="17"/>
    </row>
    <row r="30" customFormat="false" ht="15" hidden="false" customHeight="true" outlineLevel="0" collapsed="false">
      <c r="A30" s="15"/>
      <c r="B30" s="17" t="s">
        <v>407</v>
      </c>
      <c r="C30" s="17"/>
      <c r="D30" s="17"/>
    </row>
    <row r="31" customFormat="false" ht="23.25" hidden="false" customHeight="true" outlineLevel="0" collapsed="false">
      <c r="A31" s="15"/>
      <c r="B31" s="17" t="s">
        <v>408</v>
      </c>
      <c r="C31" s="17"/>
      <c r="D31" s="17"/>
    </row>
    <row r="32" customFormat="false" ht="23.25" hidden="false" customHeight="true" outlineLevel="0" collapsed="false">
      <c r="A32" s="15"/>
      <c r="B32" s="17" t="s">
        <v>409</v>
      </c>
      <c r="C32" s="17"/>
      <c r="D32" s="17"/>
    </row>
    <row r="33" customFormat="false" ht="57" hidden="false" customHeight="true" outlineLevel="0" collapsed="false">
      <c r="A33" s="15"/>
      <c r="B33" s="15" t="s">
        <v>410</v>
      </c>
    </row>
    <row r="34" customFormat="false" ht="57" hidden="false" customHeight="true" outlineLevel="0" collapsed="false">
      <c r="A34" s="15"/>
      <c r="B34" s="15" t="s">
        <v>411</v>
      </c>
    </row>
    <row r="35" customFormat="false" ht="57" hidden="false" customHeight="true" outlineLevel="0" collapsed="false">
      <c r="A35" s="15"/>
      <c r="B35" s="15" t="s">
        <v>412</v>
      </c>
    </row>
    <row r="36" customFormat="false" ht="57" hidden="false" customHeight="true" outlineLevel="0" collapsed="false">
      <c r="A36" s="15"/>
      <c r="B36" s="15" t="s">
        <v>413</v>
      </c>
    </row>
    <row r="37" customFormat="false" ht="57" hidden="false" customHeight="true" outlineLevel="0" collapsed="false">
      <c r="A37" s="15"/>
      <c r="B37" s="15" t="s">
        <v>414</v>
      </c>
    </row>
    <row r="38" customFormat="false" ht="45.75" hidden="false" customHeight="true" outlineLevel="0" collapsed="false">
      <c r="A38" s="15"/>
      <c r="B38" s="15" t="s">
        <v>415</v>
      </c>
    </row>
  </sheetData>
  <mergeCells count="10"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328125" defaultRowHeight="14.2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28"/>
    <col collapsed="false" customWidth="true" hidden="false" outlineLevel="0" max="4" min="4" style="0" width="24"/>
    <col collapsed="false" customWidth="true" hidden="false" outlineLevel="0" max="5" min="5" style="0" width="34"/>
  </cols>
  <sheetData>
    <row r="1" customFormat="false" ht="14.25" hidden="false" customHeight="true" outlineLevel="0" collapsed="false">
      <c r="A1" s="20" t="s">
        <v>416</v>
      </c>
      <c r="B1" s="20" t="s">
        <v>417</v>
      </c>
      <c r="C1" s="20" t="s">
        <v>418</v>
      </c>
      <c r="D1" s="20" t="s">
        <v>419</v>
      </c>
      <c r="E1" s="20" t="s">
        <v>420</v>
      </c>
    </row>
    <row r="2" customFormat="false" ht="42" hidden="false" customHeight="true" outlineLevel="0" collapsed="false">
      <c r="A2" s="21" t="s">
        <v>421</v>
      </c>
      <c r="B2" s="21" t="s">
        <v>422</v>
      </c>
      <c r="C2" s="21" t="s">
        <v>423</v>
      </c>
      <c r="D2" s="21" t="s">
        <v>424</v>
      </c>
      <c r="E2" s="21" t="s">
        <v>425</v>
      </c>
    </row>
    <row r="3" customFormat="false" ht="42" hidden="false" customHeight="true" outlineLevel="0" collapsed="false">
      <c r="A3" s="21" t="s">
        <v>426</v>
      </c>
      <c r="B3" s="21" t="s">
        <v>427</v>
      </c>
      <c r="C3" s="21" t="s">
        <v>428</v>
      </c>
      <c r="D3" s="21" t="s">
        <v>429</v>
      </c>
      <c r="E3" s="21" t="s">
        <v>430</v>
      </c>
    </row>
    <row r="4" customFormat="false" ht="42" hidden="false" customHeight="true" outlineLevel="0" collapsed="false">
      <c r="A4" s="21" t="s">
        <v>431</v>
      </c>
      <c r="B4" s="21" t="s">
        <v>432</v>
      </c>
      <c r="C4" s="21" t="s">
        <v>433</v>
      </c>
      <c r="D4" s="21" t="s">
        <v>434</v>
      </c>
      <c r="E4" s="21" t="s">
        <v>435</v>
      </c>
    </row>
    <row r="5" customFormat="false" ht="42" hidden="false" customHeight="true" outlineLevel="0" collapsed="false">
      <c r="A5" s="21" t="s">
        <v>385</v>
      </c>
      <c r="B5" s="21" t="s">
        <v>436</v>
      </c>
      <c r="C5" s="21" t="s">
        <v>437</v>
      </c>
      <c r="D5" s="21" t="s">
        <v>438</v>
      </c>
      <c r="E5" s="21" t="s">
        <v>439</v>
      </c>
    </row>
    <row r="6" customFormat="false" ht="42" hidden="false" customHeight="true" outlineLevel="0" collapsed="false">
      <c r="A6" s="21" t="s">
        <v>261</v>
      </c>
      <c r="B6" s="21" t="s">
        <v>440</v>
      </c>
      <c r="C6" s="21" t="s">
        <v>441</v>
      </c>
      <c r="D6" s="21" t="s">
        <v>442</v>
      </c>
      <c r="E6" s="21" t="s">
        <v>443</v>
      </c>
    </row>
    <row r="7" customFormat="false" ht="42" hidden="false" customHeight="true" outlineLevel="0" collapsed="false">
      <c r="A7" s="21" t="s">
        <v>444</v>
      </c>
      <c r="B7" s="21" t="s">
        <v>445</v>
      </c>
      <c r="C7" s="21" t="s">
        <v>446</v>
      </c>
      <c r="D7" s="21" t="s">
        <v>442</v>
      </c>
      <c r="E7" s="21" t="s">
        <v>447</v>
      </c>
    </row>
    <row r="8" customFormat="false" ht="42" hidden="false" customHeight="true" outlineLevel="0" collapsed="false">
      <c r="A8" s="21" t="s">
        <v>448</v>
      </c>
      <c r="B8" s="21" t="s">
        <v>449</v>
      </c>
      <c r="C8" s="21" t="s">
        <v>450</v>
      </c>
      <c r="D8" s="21" t="s">
        <v>451</v>
      </c>
      <c r="E8" s="21" t="s">
        <v>452</v>
      </c>
    </row>
    <row r="9" customFormat="false" ht="42" hidden="false" customHeight="true" outlineLevel="0" collapsed="false">
      <c r="A9" s="21" t="s">
        <v>453</v>
      </c>
      <c r="B9" s="21" t="s">
        <v>454</v>
      </c>
      <c r="C9" s="21" t="s">
        <v>455</v>
      </c>
      <c r="D9" s="21" t="s">
        <v>456</v>
      </c>
      <c r="E9" s="21" t="s">
        <v>457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2026-06-19T21:01:38Z</dcterms:created>
  <dc:creator>openpyxl</dc:creator>
  <dc:description/>
  <dc:language>en-US</dc:language>
  <cp:lastModifiedBy>Ferenc Molnar</cp:lastModifiedBy>
  <dcterms:modified xsi:type="dcterms:W3CDTF">2026-08-05T10:46:47Z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